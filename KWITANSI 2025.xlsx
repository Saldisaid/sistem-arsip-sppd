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1 LOGISTIK PILKADA\26102024 RAKOR SILOG PALU\Hesli\KEUANGAN\ST dan SPPD\2026\"/>
    </mc:Choice>
  </mc:AlternateContent>
  <xr:revisionPtr revIDLastSave="0" documentId="13_ncr:1_{D1CC1EA7-1D5C-4768-A485-45F74B84B3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INCIAN PERJADIN" sheetId="3" r:id="rId1"/>
  </sheets>
  <definedNames>
    <definedName name="_xlnm.Print_Area" localSheetId="0">'RINCIAN PERJADIN'!$A$904:$K$947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6" i="3" l="1"/>
  <c r="J874" i="3"/>
  <c r="J877" i="3" s="1"/>
  <c r="C882" i="3" s="1"/>
  <c r="J882" i="3" s="1"/>
  <c r="J894" i="3" s="1"/>
  <c r="J1071" i="3"/>
  <c r="J1069" i="3"/>
  <c r="J1067" i="3"/>
  <c r="J1066" i="3"/>
  <c r="J1021" i="3"/>
  <c r="J1019" i="3"/>
  <c r="J1017" i="3"/>
  <c r="J1016" i="3"/>
  <c r="J971" i="3"/>
  <c r="J969" i="3"/>
  <c r="J967" i="3"/>
  <c r="J966" i="3"/>
  <c r="J921" i="3"/>
  <c r="J922" i="3" s="1"/>
  <c r="J828" i="3"/>
  <c r="J829" i="3" s="1"/>
  <c r="J783" i="3"/>
  <c r="J784" i="3" s="1"/>
  <c r="J738" i="3"/>
  <c r="J736" i="3"/>
  <c r="J734" i="3"/>
  <c r="J733" i="3"/>
  <c r="J688" i="3"/>
  <c r="J686" i="3"/>
  <c r="J684" i="3"/>
  <c r="J683" i="3"/>
  <c r="J638" i="3"/>
  <c r="J637" i="3"/>
  <c r="J635" i="3"/>
  <c r="J633" i="3"/>
  <c r="J632" i="3"/>
  <c r="J587" i="3"/>
  <c r="J586" i="3"/>
  <c r="J584" i="3"/>
  <c r="J582" i="3"/>
  <c r="J581" i="3"/>
  <c r="J535" i="3"/>
  <c r="J533" i="3"/>
  <c r="J531" i="3"/>
  <c r="J530" i="3"/>
  <c r="J484" i="3"/>
  <c r="J482" i="3"/>
  <c r="J480" i="3"/>
  <c r="J479" i="3"/>
  <c r="J429" i="3"/>
  <c r="J433" i="3"/>
  <c r="J431" i="3"/>
  <c r="J428" i="3"/>
  <c r="J381" i="3"/>
  <c r="J379" i="3"/>
  <c r="J377" i="3"/>
  <c r="J376" i="3"/>
  <c r="J329" i="3"/>
  <c r="J327" i="3"/>
  <c r="J325" i="3"/>
  <c r="J324" i="3"/>
  <c r="J278" i="3"/>
  <c r="J276" i="3"/>
  <c r="J274" i="3"/>
  <c r="J273" i="3"/>
  <c r="J226" i="3"/>
  <c r="J224" i="3"/>
  <c r="J222" i="3"/>
  <c r="J221" i="3"/>
  <c r="J170" i="3"/>
  <c r="J174" i="3"/>
  <c r="J172" i="3"/>
  <c r="J169" i="3"/>
  <c r="J122" i="3"/>
  <c r="J120" i="3"/>
  <c r="J118" i="3"/>
  <c r="J72" i="3"/>
  <c r="J70" i="3"/>
  <c r="J68" i="3"/>
  <c r="J639" i="3" l="1"/>
  <c r="J588" i="3"/>
  <c r="J604" i="3" s="1"/>
  <c r="J739" i="3"/>
  <c r="J689" i="3"/>
  <c r="C694" i="3" s="1"/>
  <c r="J694" i="3" s="1"/>
  <c r="J706" i="3" s="1"/>
  <c r="J1022" i="3"/>
  <c r="C1027" i="3" s="1"/>
  <c r="J1027" i="3" s="1"/>
  <c r="J1039" i="3" s="1"/>
  <c r="J1072" i="3"/>
  <c r="J1088" i="3" s="1"/>
  <c r="C1077" i="3"/>
  <c r="J1077" i="3" s="1"/>
  <c r="J1089" i="3" s="1"/>
  <c r="J972" i="3"/>
  <c r="C977" i="3" s="1"/>
  <c r="J977" i="3" s="1"/>
  <c r="J989" i="3" s="1"/>
  <c r="C927" i="3"/>
  <c r="J927" i="3" s="1"/>
  <c r="J939" i="3" s="1"/>
  <c r="J938" i="3"/>
  <c r="J893" i="3"/>
  <c r="J895" i="3" s="1"/>
  <c r="C834" i="3"/>
  <c r="J834" i="3" s="1"/>
  <c r="J846" i="3" s="1"/>
  <c r="J845" i="3"/>
  <c r="J435" i="3"/>
  <c r="C440" i="3" s="1"/>
  <c r="J440" i="3" s="1"/>
  <c r="J452" i="3" s="1"/>
  <c r="C744" i="3"/>
  <c r="J744" i="3" s="1"/>
  <c r="J756" i="3" s="1"/>
  <c r="C789" i="3"/>
  <c r="J789" i="3" s="1"/>
  <c r="J801" i="3" s="1"/>
  <c r="J800" i="3"/>
  <c r="C644" i="3"/>
  <c r="J644" i="3" s="1"/>
  <c r="J656" i="3" s="1"/>
  <c r="J537" i="3"/>
  <c r="C542" i="3" s="1"/>
  <c r="J542" i="3" s="1"/>
  <c r="J554" i="3" s="1"/>
  <c r="J486" i="3"/>
  <c r="C491" i="3" s="1"/>
  <c r="J491" i="3" s="1"/>
  <c r="J503" i="3" s="1"/>
  <c r="J331" i="3"/>
  <c r="C336" i="3" s="1"/>
  <c r="J336" i="3" s="1"/>
  <c r="J348" i="3" s="1"/>
  <c r="J383" i="3"/>
  <c r="C388" i="3" s="1"/>
  <c r="J388" i="3" s="1"/>
  <c r="J400" i="3" s="1"/>
  <c r="J228" i="3"/>
  <c r="J244" i="3" s="1"/>
  <c r="J280" i="3"/>
  <c r="C285" i="3" s="1"/>
  <c r="J285" i="3" s="1"/>
  <c r="J297" i="3" s="1"/>
  <c r="J176" i="3"/>
  <c r="J192" i="3" s="1"/>
  <c r="J74" i="3"/>
  <c r="C79" i="3" s="1"/>
  <c r="J79" i="3" s="1"/>
  <c r="J91" i="3" s="1"/>
  <c r="J124" i="3"/>
  <c r="C129" i="3" s="1"/>
  <c r="J129" i="3" s="1"/>
  <c r="J141" i="3" s="1"/>
  <c r="J22" i="3"/>
  <c r="J20" i="3"/>
  <c r="J18" i="3"/>
  <c r="J802" i="3" l="1"/>
  <c r="J847" i="3"/>
  <c r="J347" i="3"/>
  <c r="J349" i="3" s="1"/>
  <c r="J705" i="3"/>
  <c r="J707" i="3" s="1"/>
  <c r="J940" i="3"/>
  <c r="J1038" i="3"/>
  <c r="J1040" i="3" s="1"/>
  <c r="J451" i="3"/>
  <c r="J453" i="3" s="1"/>
  <c r="C181" i="3"/>
  <c r="J181" i="3" s="1"/>
  <c r="J193" i="3" s="1"/>
  <c r="J194" i="3" s="1"/>
  <c r="J988" i="3"/>
  <c r="J755" i="3"/>
  <c r="J757" i="3"/>
  <c r="J1090" i="3"/>
  <c r="J990" i="3"/>
  <c r="J655" i="3"/>
  <c r="J657" i="3" s="1"/>
  <c r="J502" i="3"/>
  <c r="J504" i="3" s="1"/>
  <c r="J553" i="3"/>
  <c r="J555" i="3" s="1"/>
  <c r="J90" i="3"/>
  <c r="J92" i="3" s="1"/>
  <c r="C593" i="3"/>
  <c r="J593" i="3" s="1"/>
  <c r="J605" i="3" s="1"/>
  <c r="J606" i="3" s="1"/>
  <c r="J140" i="3"/>
  <c r="C233" i="3"/>
  <c r="J233" i="3" s="1"/>
  <c r="J245" i="3" s="1"/>
  <c r="J246" i="3" s="1"/>
  <c r="J399" i="3"/>
  <c r="J401" i="3" s="1"/>
  <c r="J296" i="3"/>
  <c r="J298" i="3" s="1"/>
  <c r="J142" i="3"/>
  <c r="J24" i="3"/>
  <c r="C29" i="3" s="1"/>
  <c r="J29" i="3" s="1"/>
  <c r="J41" i="3" s="1"/>
  <c r="J40" i="3" l="1"/>
  <c r="J42" i="3" s="1"/>
</calcChain>
</file>

<file path=xl/sharedStrings.xml><?xml version="1.0" encoding="utf-8"?>
<sst xmlns="http://schemas.openxmlformats.org/spreadsheetml/2006/main" count="1186" uniqueCount="106">
  <si>
    <t>KOMISI PEMILIHAN UMUM</t>
  </si>
  <si>
    <t>KABUPATEN TOLITOLI</t>
  </si>
  <si>
    <t>RINCIAN BIAYA PERJALANAN DINAS</t>
  </si>
  <si>
    <t xml:space="preserve">Lampiran SPD Nomor </t>
  </si>
  <si>
    <t>:</t>
  </si>
  <si>
    <t>Tanggal</t>
  </si>
  <si>
    <t>No.</t>
  </si>
  <si>
    <t>PERINCIAN BIAYA</t>
  </si>
  <si>
    <t>JUMLAH</t>
  </si>
  <si>
    <t>KETERANGAN</t>
  </si>
  <si>
    <t>1.</t>
  </si>
  <si>
    <t>-</t>
  </si>
  <si>
    <t>Rp.</t>
  </si>
  <si>
    <t>x</t>
  </si>
  <si>
    <t>JUMLAH    :</t>
  </si>
  <si>
    <t>TERBILANG :</t>
  </si>
  <si>
    <t>Telah di bayar sejumlah</t>
  </si>
  <si>
    <t>Telah menerima jumlah uang sebesar</t>
  </si>
  <si>
    <t>Bendahara Pengeluaran</t>
  </si>
  <si>
    <t>Yang Menerima</t>
  </si>
  <si>
    <t>PERHITUNGAN SPD RAMPUNG</t>
  </si>
  <si>
    <t>Ditetapkan sejumlah</t>
  </si>
  <si>
    <t xml:space="preserve">: Rp. </t>
  </si>
  <si>
    <t>Yang telah dibayar semula</t>
  </si>
  <si>
    <t>Sisa kurang/lebih</t>
  </si>
  <si>
    <t>Pejabat Pembuat Komitmen</t>
  </si>
  <si>
    <t>OVELIO LAYUK</t>
  </si>
  <si>
    <t>Transport Pegawai PP</t>
  </si>
  <si>
    <t>2.</t>
  </si>
  <si>
    <t>Hari Harian biasa</t>
  </si>
  <si>
    <t xml:space="preserve"> 3.</t>
  </si>
  <si>
    <t>Malam</t>
  </si>
  <si>
    <t>AFRIZAL</t>
  </si>
  <si>
    <t>NASRIN</t>
  </si>
  <si>
    <t>SANGSAR</t>
  </si>
  <si>
    <t xml:space="preserve">Penginapan </t>
  </si>
  <si>
    <t>FATHUN RUSYADI</t>
  </si>
  <si>
    <t>Transport</t>
  </si>
  <si>
    <t>DELAPAN RATUS RIBU RUPIAH RIBU RUPIAH</t>
  </si>
  <si>
    <t>001/RT.02.1-ST/7204/3/2025</t>
  </si>
  <si>
    <t>11 Maret 2026</t>
  </si>
  <si>
    <t>Uang Harian di Kecamatan Dampal Selatan</t>
  </si>
  <si>
    <t>Tolitoli, 11 Maret 2026</t>
  </si>
  <si>
    <t>002/RT.02.1-ST/7204/3/2025</t>
  </si>
  <si>
    <t>003/RT.02.1-ST/7204/3/2025</t>
  </si>
  <si>
    <t>004/RT.02.1-ST/7204/4/2026</t>
  </si>
  <si>
    <t>29 Maret 2026</t>
  </si>
  <si>
    <t>Pergi</t>
  </si>
  <si>
    <t>Pulang</t>
  </si>
  <si>
    <t>Uang Harian di Palu</t>
  </si>
  <si>
    <t>Tolitoli, 29 Maret 2026</t>
  </si>
  <si>
    <t>JUNAIDI</t>
  </si>
  <si>
    <t>Dua Juta Lima Ratus Empat Puluh Ribu Rupiah</t>
  </si>
  <si>
    <t>Dua Juta Tiga Ratus Sembilan Puluh Ribu Rupiah</t>
  </si>
  <si>
    <t>Satu Juta Delapan Ratus Sembilan Puluh Ribu Rupiah</t>
  </si>
  <si>
    <t>007/RT.02.1-ST/7204/1/2026</t>
  </si>
  <si>
    <t>Satu Juta Tujuh Ratus Empat Puluh Ribu Rupiah</t>
  </si>
  <si>
    <t>005/RT.02.1-ST/7204/1/2026</t>
  </si>
  <si>
    <t>Malam mengambil 30%</t>
  </si>
  <si>
    <t>Satu Juta Enam Ratus Lima Puluh Ribu Rupiah</t>
  </si>
  <si>
    <t>HAERIL</t>
  </si>
  <si>
    <t>006/RT.02.1-ST/7204/4/2026</t>
  </si>
  <si>
    <t>008/RT.02.1-ST/7204/1/2026</t>
  </si>
  <si>
    <t>009/RT.02.1-ST/7204/3/2025</t>
  </si>
  <si>
    <t>30 April 2026</t>
  </si>
  <si>
    <t>Tolitoli, 30 April 2026</t>
  </si>
  <si>
    <t>010/RT.02.1-ST/7204/3/2025</t>
  </si>
  <si>
    <t>011/RT.02.1-ST/7204/3/2025</t>
  </si>
  <si>
    <t>012/RT.02.1-ST/7204/3/2025</t>
  </si>
  <si>
    <t>RIAN VIRVIAN HIDAYAT R. PELEALU</t>
  </si>
  <si>
    <t>Malam 30 %</t>
  </si>
  <si>
    <t>013/RT.02.1-ST/7204/3/2025</t>
  </si>
  <si>
    <t>A. Iksan Adi Kusuma</t>
  </si>
  <si>
    <t>014/RT.02.1-ST/7204/3/2025</t>
  </si>
  <si>
    <t>Sembilan Ratus Tujuh Puluh Ribu Rupiah</t>
  </si>
  <si>
    <t>MARSYUKI</t>
  </si>
  <si>
    <t>015/RT.02.1-ST/7204/3/2025</t>
  </si>
  <si>
    <t>016/RT.02.1-ST/7204/3/2025</t>
  </si>
  <si>
    <t>TIGA RATUS RIBU RUPIAH</t>
  </si>
  <si>
    <t>017/RT.02.1-ST/7204/3/2025</t>
  </si>
  <si>
    <t>MAWADDAH MUHADJIR</t>
  </si>
  <si>
    <t>018/RT.02.1-ST/7204/3/2025</t>
  </si>
  <si>
    <t>RAMA SANJAYA</t>
  </si>
  <si>
    <t>019/RT.02.1-ST/7204/3/2025</t>
  </si>
  <si>
    <t>SURIANI</t>
  </si>
  <si>
    <t>020/RT.02.1-ST/7204/3/2025</t>
  </si>
  <si>
    <t>Uang Harian di Kecamatan Dako dan Tolut</t>
  </si>
  <si>
    <t xml:space="preserve">Malam </t>
  </si>
  <si>
    <t>Satu Juta Tiga Ratus Lima Puluh Ribu Rupiah</t>
  </si>
  <si>
    <t>Warman</t>
  </si>
  <si>
    <t>021/RT.02.1-ST/7204/3/2025</t>
  </si>
  <si>
    <t>Delapan Ratus Lima Puluh Ribu Rupiah</t>
  </si>
  <si>
    <t>Herdyanti</t>
  </si>
  <si>
    <t>022/RT.02.1-ST/7204/3/2025</t>
  </si>
  <si>
    <t>MUHAMMAD BILAL</t>
  </si>
  <si>
    <t>Uang Harian di Kecamatan Basdon dan Lampasio</t>
  </si>
  <si>
    <t>Uang Harian di Kecamatan Dondo dan Ogodeide</t>
  </si>
  <si>
    <t>Lima Ratus Tujuh Puluh Ribu Ripiah</t>
  </si>
  <si>
    <t>Satu Juta Lima Ratus Lima Puluh Ribu Rupiah</t>
  </si>
  <si>
    <t>Sembilan Ratus Lima Puluh Ribu Rupiah</t>
  </si>
  <si>
    <t>Satu Juta Dua Ratus Sepuluh Ribu Rupiah</t>
  </si>
  <si>
    <t>Tujuh Ratus Sepuluh Ribu Rupiah</t>
  </si>
  <si>
    <t>Uang Harian</t>
  </si>
  <si>
    <t>Hari</t>
  </si>
  <si>
    <t>Harian</t>
  </si>
  <si>
    <t>Enam Ratus Ribu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</si>
</sst>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_-"/>
  </numFmts>
  <fonts count="12">
    <font>
      <sz val="11"/>
      <color theme="1"/>
      <name val="Calibri"/>
      <charset val="134"/>
      <scheme val="minor"/>
    </font>
    <font>
      <sz val="11"/>
      <color theme="1"/>
      <name val="Verdana"/>
      <charset val="134"/>
    </font>
    <font>
      <b/>
      <sz val="13"/>
      <color theme="1"/>
      <name val="Verdana"/>
      <charset val="134"/>
    </font>
    <font>
      <b/>
      <sz val="12"/>
      <color theme="1"/>
      <name val="Verdana"/>
      <charset val="134"/>
    </font>
    <font>
      <b/>
      <sz val="11"/>
      <color theme="1"/>
      <name val="Verdana"/>
      <charset val="134"/>
    </font>
    <font>
      <sz val="10"/>
      <color theme="1"/>
      <name val="Verdana"/>
      <charset val="134"/>
    </font>
    <font>
      <sz val="12"/>
      <color theme="1"/>
      <name val="Arial Narrow"/>
      <charset val="134"/>
    </font>
    <font>
      <b/>
      <sz val="10"/>
      <color theme="1"/>
      <name val="Verdana"/>
      <charset val="134"/>
    </font>
    <font>
      <b/>
      <u/>
      <sz val="10"/>
      <color theme="1"/>
      <name val="Verdana"/>
      <charset val="134"/>
    </font>
    <font>
      <sz val="9"/>
      <color theme="1"/>
      <name val="Verdana"/>
      <charset val="134"/>
    </font>
    <font>
      <u val="singleAccounting"/>
      <sz val="10"/>
      <color theme="1"/>
      <name val="Verdana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5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1" fontId="5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9" xfId="1" applyFont="1" applyBorder="1" applyAlignment="1">
      <alignment vertical="center"/>
    </xf>
    <xf numFmtId="41" fontId="5" fillId="0" borderId="10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41" fontId="7" fillId="0" borderId="0" xfId="0" applyNumberFormat="1" applyFont="1" applyAlignment="1">
      <alignment horizontal="right" vertical="center"/>
    </xf>
    <xf numFmtId="0" fontId="5" fillId="2" borderId="16" xfId="0" applyFont="1" applyFill="1" applyBorder="1" applyAlignment="1">
      <alignment horizontal="left" vertical="center"/>
    </xf>
    <xf numFmtId="164" fontId="5" fillId="0" borderId="0" xfId="1" applyFont="1" applyAlignment="1">
      <alignment horizontal="right" vertical="center"/>
    </xf>
    <xf numFmtId="164" fontId="10" fillId="0" borderId="0" xfId="1" applyFont="1" applyAlignment="1">
      <alignment vertical="center"/>
    </xf>
    <xf numFmtId="0" fontId="6" fillId="0" borderId="0" xfId="0" applyFont="1"/>
    <xf numFmtId="20" fontId="5" fillId="0" borderId="5" xfId="0" applyNumberFormat="1" applyFont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vertical="center"/>
    </xf>
    <xf numFmtId="164" fontId="5" fillId="0" borderId="10" xfId="1" applyFont="1" applyBorder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41" fontId="5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87842</xdr:colOff>
      <xdr:row>0</xdr:row>
      <xdr:rowOff>103188</xdr:rowOff>
    </xdr:from>
    <xdr:to>
      <xdr:col>7</xdr:col>
      <xdr:colOff>287867</xdr:colOff>
      <xdr:row>5</xdr:row>
      <xdr:rowOff>129192</xdr:rowOff>
    </xdr:to>
    <xdr:pic>
      <xdr:nvPicPr>
        <xdr:cNvPr id="27" name="Picture 26" descr="Logo_KPU_Engrav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017" y="223359663"/>
          <a:ext cx="895350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50</xdr:row>
      <xdr:rowOff>103188</xdr:rowOff>
    </xdr:from>
    <xdr:to>
      <xdr:col>7</xdr:col>
      <xdr:colOff>287867</xdr:colOff>
      <xdr:row>55</xdr:row>
      <xdr:rowOff>129192</xdr:rowOff>
    </xdr:to>
    <xdr:pic>
      <xdr:nvPicPr>
        <xdr:cNvPr id="49" name="Picture 48" descr="Logo_KPU_Engrave">
          <a:extLst>
            <a:ext uri="{FF2B5EF4-FFF2-40B4-BE49-F238E27FC236}">
              <a16:creationId xmlns:a16="http://schemas.microsoft.com/office/drawing/2014/main" id="{5C5136B4-EFC5-4C47-9921-5AA358EA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03188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100</xdr:row>
      <xdr:rowOff>103188</xdr:rowOff>
    </xdr:from>
    <xdr:to>
      <xdr:col>7</xdr:col>
      <xdr:colOff>287867</xdr:colOff>
      <xdr:row>105</xdr:row>
      <xdr:rowOff>129192</xdr:rowOff>
    </xdr:to>
    <xdr:pic>
      <xdr:nvPicPr>
        <xdr:cNvPr id="50" name="Picture 49" descr="Logo_KPU_Engrave">
          <a:extLst>
            <a:ext uri="{FF2B5EF4-FFF2-40B4-BE49-F238E27FC236}">
              <a16:creationId xmlns:a16="http://schemas.microsoft.com/office/drawing/2014/main" id="{9F75E53A-DCE7-41BF-AD99-B338F1796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9695423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151</xdr:row>
      <xdr:rowOff>103188</xdr:rowOff>
    </xdr:from>
    <xdr:to>
      <xdr:col>7</xdr:col>
      <xdr:colOff>287867</xdr:colOff>
      <xdr:row>156</xdr:row>
      <xdr:rowOff>129192</xdr:rowOff>
    </xdr:to>
    <xdr:pic>
      <xdr:nvPicPr>
        <xdr:cNvPr id="2" name="Picture 1" descr="Logo_KPU_Engrave">
          <a:extLst>
            <a:ext uri="{FF2B5EF4-FFF2-40B4-BE49-F238E27FC236}">
              <a16:creationId xmlns:a16="http://schemas.microsoft.com/office/drawing/2014/main" id="{1988AB3E-A7A3-4E5A-9BF4-89EC9393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03188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203</xdr:row>
      <xdr:rowOff>103188</xdr:rowOff>
    </xdr:from>
    <xdr:to>
      <xdr:col>7</xdr:col>
      <xdr:colOff>287867</xdr:colOff>
      <xdr:row>208</xdr:row>
      <xdr:rowOff>129192</xdr:rowOff>
    </xdr:to>
    <xdr:pic>
      <xdr:nvPicPr>
        <xdr:cNvPr id="3" name="Picture 2" descr="Logo_KPU_Engrave">
          <a:extLst>
            <a:ext uri="{FF2B5EF4-FFF2-40B4-BE49-F238E27FC236}">
              <a16:creationId xmlns:a16="http://schemas.microsoft.com/office/drawing/2014/main" id="{E47E9128-92FC-4F0D-BA23-D58847062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29070394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255</xdr:row>
      <xdr:rowOff>103188</xdr:rowOff>
    </xdr:from>
    <xdr:to>
      <xdr:col>7</xdr:col>
      <xdr:colOff>287867</xdr:colOff>
      <xdr:row>260</xdr:row>
      <xdr:rowOff>129192</xdr:rowOff>
    </xdr:to>
    <xdr:pic>
      <xdr:nvPicPr>
        <xdr:cNvPr id="4" name="Picture 3" descr="Logo_KPU_Engrave">
          <a:extLst>
            <a:ext uri="{FF2B5EF4-FFF2-40B4-BE49-F238E27FC236}">
              <a16:creationId xmlns:a16="http://schemas.microsoft.com/office/drawing/2014/main" id="{D94F1E0A-F158-4BAE-98F7-CCD2D0B98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39043629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76636</xdr:colOff>
      <xdr:row>306</xdr:row>
      <xdr:rowOff>103188</xdr:rowOff>
    </xdr:from>
    <xdr:to>
      <xdr:col>7</xdr:col>
      <xdr:colOff>276661</xdr:colOff>
      <xdr:row>311</xdr:row>
      <xdr:rowOff>129192</xdr:rowOff>
    </xdr:to>
    <xdr:pic>
      <xdr:nvPicPr>
        <xdr:cNvPr id="5" name="Picture 4" descr="Logo_KPU_Engrave">
          <a:extLst>
            <a:ext uri="{FF2B5EF4-FFF2-40B4-BE49-F238E27FC236}">
              <a16:creationId xmlns:a16="http://schemas.microsoft.com/office/drawing/2014/main" id="{723BB6E2-BFDD-4334-A639-14F8004D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1371" y="58799600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358</xdr:row>
      <xdr:rowOff>103188</xdr:rowOff>
    </xdr:from>
    <xdr:to>
      <xdr:col>7</xdr:col>
      <xdr:colOff>287867</xdr:colOff>
      <xdr:row>363</xdr:row>
      <xdr:rowOff>129192</xdr:rowOff>
    </xdr:to>
    <xdr:pic>
      <xdr:nvPicPr>
        <xdr:cNvPr id="7" name="Picture 6" descr="Logo_KPU_Engrave">
          <a:extLst>
            <a:ext uri="{FF2B5EF4-FFF2-40B4-BE49-F238E27FC236}">
              <a16:creationId xmlns:a16="http://schemas.microsoft.com/office/drawing/2014/main" id="{FFAFE23B-44BE-42C3-B771-DE8322E72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58799600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410</xdr:row>
      <xdr:rowOff>103188</xdr:rowOff>
    </xdr:from>
    <xdr:to>
      <xdr:col>7</xdr:col>
      <xdr:colOff>287867</xdr:colOff>
      <xdr:row>415</xdr:row>
      <xdr:rowOff>129192</xdr:rowOff>
    </xdr:to>
    <xdr:pic>
      <xdr:nvPicPr>
        <xdr:cNvPr id="6" name="Picture 5" descr="Logo_KPU_Engrave">
          <a:extLst>
            <a:ext uri="{FF2B5EF4-FFF2-40B4-BE49-F238E27FC236}">
              <a16:creationId xmlns:a16="http://schemas.microsoft.com/office/drawing/2014/main" id="{72509FC9-7305-4268-821B-6132FBCEA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9695423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461</xdr:row>
      <xdr:rowOff>103188</xdr:rowOff>
    </xdr:from>
    <xdr:to>
      <xdr:col>7</xdr:col>
      <xdr:colOff>287867</xdr:colOff>
      <xdr:row>466</xdr:row>
      <xdr:rowOff>129192</xdr:rowOff>
    </xdr:to>
    <xdr:pic>
      <xdr:nvPicPr>
        <xdr:cNvPr id="8" name="Picture 7" descr="Logo_KPU_Engrave">
          <a:extLst>
            <a:ext uri="{FF2B5EF4-FFF2-40B4-BE49-F238E27FC236}">
              <a16:creationId xmlns:a16="http://schemas.microsoft.com/office/drawing/2014/main" id="{C0CE7128-4A84-4A6C-871D-A32C852D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78746070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512</xdr:row>
      <xdr:rowOff>103188</xdr:rowOff>
    </xdr:from>
    <xdr:to>
      <xdr:col>7</xdr:col>
      <xdr:colOff>287867</xdr:colOff>
      <xdr:row>517</xdr:row>
      <xdr:rowOff>129192</xdr:rowOff>
    </xdr:to>
    <xdr:pic>
      <xdr:nvPicPr>
        <xdr:cNvPr id="9" name="Picture 8" descr="Logo_KPU_Engrave">
          <a:extLst>
            <a:ext uri="{FF2B5EF4-FFF2-40B4-BE49-F238E27FC236}">
              <a16:creationId xmlns:a16="http://schemas.microsoft.com/office/drawing/2014/main" id="{0958CF1D-B926-41E4-B7E0-50D5E336E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88528806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563</xdr:row>
      <xdr:rowOff>103188</xdr:rowOff>
    </xdr:from>
    <xdr:to>
      <xdr:col>7</xdr:col>
      <xdr:colOff>287867</xdr:colOff>
      <xdr:row>568</xdr:row>
      <xdr:rowOff>129192</xdr:rowOff>
    </xdr:to>
    <xdr:pic>
      <xdr:nvPicPr>
        <xdr:cNvPr id="10" name="Picture 9" descr="Logo_KPU_Engrave">
          <a:extLst>
            <a:ext uri="{FF2B5EF4-FFF2-40B4-BE49-F238E27FC236}">
              <a16:creationId xmlns:a16="http://schemas.microsoft.com/office/drawing/2014/main" id="{4DD71F7C-DC87-4893-870B-81304ED3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98311541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614</xdr:row>
      <xdr:rowOff>103188</xdr:rowOff>
    </xdr:from>
    <xdr:to>
      <xdr:col>7</xdr:col>
      <xdr:colOff>287867</xdr:colOff>
      <xdr:row>619</xdr:row>
      <xdr:rowOff>129192</xdr:rowOff>
    </xdr:to>
    <xdr:pic>
      <xdr:nvPicPr>
        <xdr:cNvPr id="11" name="Picture 10" descr="Logo_KPU_Engrave">
          <a:extLst>
            <a:ext uri="{FF2B5EF4-FFF2-40B4-BE49-F238E27FC236}">
              <a16:creationId xmlns:a16="http://schemas.microsoft.com/office/drawing/2014/main" id="{541CF487-0C62-4AD3-97CE-34209153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08094276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665</xdr:row>
      <xdr:rowOff>103188</xdr:rowOff>
    </xdr:from>
    <xdr:to>
      <xdr:col>7</xdr:col>
      <xdr:colOff>287867</xdr:colOff>
      <xdr:row>670</xdr:row>
      <xdr:rowOff>129192</xdr:rowOff>
    </xdr:to>
    <xdr:pic>
      <xdr:nvPicPr>
        <xdr:cNvPr id="12" name="Picture 11" descr="Logo_KPU_Engrave">
          <a:extLst>
            <a:ext uri="{FF2B5EF4-FFF2-40B4-BE49-F238E27FC236}">
              <a16:creationId xmlns:a16="http://schemas.microsoft.com/office/drawing/2014/main" id="{A13360CF-A5F1-4686-A129-99791CC03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17877012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715</xdr:row>
      <xdr:rowOff>103188</xdr:rowOff>
    </xdr:from>
    <xdr:to>
      <xdr:col>7</xdr:col>
      <xdr:colOff>287867</xdr:colOff>
      <xdr:row>720</xdr:row>
      <xdr:rowOff>129192</xdr:rowOff>
    </xdr:to>
    <xdr:pic>
      <xdr:nvPicPr>
        <xdr:cNvPr id="13" name="Picture 12" descr="Logo_KPU_Engrave">
          <a:extLst>
            <a:ext uri="{FF2B5EF4-FFF2-40B4-BE49-F238E27FC236}">
              <a16:creationId xmlns:a16="http://schemas.microsoft.com/office/drawing/2014/main" id="{D6D7BC91-493E-4C6F-BD6A-B2BBD76BE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27659747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765</xdr:row>
      <xdr:rowOff>103188</xdr:rowOff>
    </xdr:from>
    <xdr:to>
      <xdr:col>7</xdr:col>
      <xdr:colOff>287867</xdr:colOff>
      <xdr:row>770</xdr:row>
      <xdr:rowOff>129192</xdr:rowOff>
    </xdr:to>
    <xdr:pic>
      <xdr:nvPicPr>
        <xdr:cNvPr id="14" name="Picture 13" descr="Logo_KPU_Engrave">
          <a:extLst>
            <a:ext uri="{FF2B5EF4-FFF2-40B4-BE49-F238E27FC236}">
              <a16:creationId xmlns:a16="http://schemas.microsoft.com/office/drawing/2014/main" id="{7ECBFB51-0E50-4E7D-B510-DEF7C6D8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37251982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810</xdr:row>
      <xdr:rowOff>103188</xdr:rowOff>
    </xdr:from>
    <xdr:to>
      <xdr:col>7</xdr:col>
      <xdr:colOff>287867</xdr:colOff>
      <xdr:row>815</xdr:row>
      <xdr:rowOff>129192</xdr:rowOff>
    </xdr:to>
    <xdr:pic>
      <xdr:nvPicPr>
        <xdr:cNvPr id="15" name="Picture 14" descr="Logo_KPU_Engrave">
          <a:extLst>
            <a:ext uri="{FF2B5EF4-FFF2-40B4-BE49-F238E27FC236}">
              <a16:creationId xmlns:a16="http://schemas.microsoft.com/office/drawing/2014/main" id="{2A6FC045-B334-47F6-9BAF-C7A9020E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46844217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856</xdr:row>
      <xdr:rowOff>103188</xdr:rowOff>
    </xdr:from>
    <xdr:to>
      <xdr:col>7</xdr:col>
      <xdr:colOff>287867</xdr:colOff>
      <xdr:row>861</xdr:row>
      <xdr:rowOff>129192</xdr:rowOff>
    </xdr:to>
    <xdr:pic>
      <xdr:nvPicPr>
        <xdr:cNvPr id="16" name="Picture 15" descr="Logo_KPU_Engrave">
          <a:extLst>
            <a:ext uri="{FF2B5EF4-FFF2-40B4-BE49-F238E27FC236}">
              <a16:creationId xmlns:a16="http://schemas.microsoft.com/office/drawing/2014/main" id="{25DF17A5-E4CC-4D7C-89F4-1E16B1C8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55483953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903</xdr:row>
      <xdr:rowOff>103188</xdr:rowOff>
    </xdr:from>
    <xdr:to>
      <xdr:col>7</xdr:col>
      <xdr:colOff>287867</xdr:colOff>
      <xdr:row>908</xdr:row>
      <xdr:rowOff>129192</xdr:rowOff>
    </xdr:to>
    <xdr:pic>
      <xdr:nvPicPr>
        <xdr:cNvPr id="17" name="Picture 16" descr="Logo_KPU_Engrave">
          <a:extLst>
            <a:ext uri="{FF2B5EF4-FFF2-40B4-BE49-F238E27FC236}">
              <a16:creationId xmlns:a16="http://schemas.microsoft.com/office/drawing/2014/main" id="{DBE3BCB3-0FD7-40C1-A39F-40CE126FA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64314188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948</xdr:row>
      <xdr:rowOff>103188</xdr:rowOff>
    </xdr:from>
    <xdr:to>
      <xdr:col>7</xdr:col>
      <xdr:colOff>287867</xdr:colOff>
      <xdr:row>953</xdr:row>
      <xdr:rowOff>129192</xdr:rowOff>
    </xdr:to>
    <xdr:pic>
      <xdr:nvPicPr>
        <xdr:cNvPr id="18" name="Picture 17" descr="Logo_KPU_Engrave">
          <a:extLst>
            <a:ext uri="{FF2B5EF4-FFF2-40B4-BE49-F238E27FC236}">
              <a16:creationId xmlns:a16="http://schemas.microsoft.com/office/drawing/2014/main" id="{0D378420-E455-477B-B9C1-ACC681EB7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37251982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998</xdr:row>
      <xdr:rowOff>103188</xdr:rowOff>
    </xdr:from>
    <xdr:to>
      <xdr:col>7</xdr:col>
      <xdr:colOff>287867</xdr:colOff>
      <xdr:row>1003</xdr:row>
      <xdr:rowOff>129192</xdr:rowOff>
    </xdr:to>
    <xdr:pic>
      <xdr:nvPicPr>
        <xdr:cNvPr id="19" name="Picture 18" descr="Logo_KPU_Engrave">
          <a:extLst>
            <a:ext uri="{FF2B5EF4-FFF2-40B4-BE49-F238E27FC236}">
              <a16:creationId xmlns:a16="http://schemas.microsoft.com/office/drawing/2014/main" id="{9552B384-2C80-41F9-99EC-98276E8EC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81593659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87842</xdr:colOff>
      <xdr:row>1048</xdr:row>
      <xdr:rowOff>103188</xdr:rowOff>
    </xdr:from>
    <xdr:to>
      <xdr:col>7</xdr:col>
      <xdr:colOff>287867</xdr:colOff>
      <xdr:row>1053</xdr:row>
      <xdr:rowOff>129192</xdr:rowOff>
    </xdr:to>
    <xdr:pic>
      <xdr:nvPicPr>
        <xdr:cNvPr id="20" name="Picture 19" descr="Logo_KPU_Engrave">
          <a:extLst>
            <a:ext uri="{FF2B5EF4-FFF2-40B4-BE49-F238E27FC236}">
              <a16:creationId xmlns:a16="http://schemas.microsoft.com/office/drawing/2014/main" id="{75B717E2-8661-43E0-8044-FA5AA33A5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12577" y="191185894"/>
          <a:ext cx="905996" cy="978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7"/>
  <sheetViews>
    <sheetView tabSelected="1" topLeftCell="A964" zoomScale="85" zoomScaleNormal="85" workbookViewId="0">
      <selection activeCell="A904" sqref="A904:K947"/>
    </sheetView>
  </sheetViews>
  <sheetFormatPr defaultColWidth="9" defaultRowHeight="15"/>
  <cols>
    <col min="1" max="1" width="5.28515625" customWidth="1"/>
    <col min="2" max="2" width="4.140625" customWidth="1"/>
    <col min="3" max="3" width="10" customWidth="1"/>
    <col min="4" max="4" width="7.42578125" customWidth="1"/>
    <col min="5" max="5" width="17" customWidth="1"/>
    <col min="6" max="6" width="6.140625" customWidth="1"/>
    <col min="7" max="7" width="4.28515625" customWidth="1"/>
    <col min="8" max="8" width="13.140625" customWidth="1"/>
    <col min="9" max="9" width="5.7109375" customWidth="1"/>
    <col min="10" max="11" width="16.85546875" customWidth="1"/>
    <col min="12" max="12" width="5.28515625" customWidth="1"/>
    <col min="13" max="13" width="4.140625" customWidth="1"/>
    <col min="14" max="14" width="16.28515625" customWidth="1"/>
    <col min="15" max="15" width="12.140625" customWidth="1"/>
    <col min="16" max="16" width="7.85546875" customWidth="1"/>
    <col min="17" max="17" width="8.7109375" customWidth="1"/>
    <col min="18" max="18" width="4.28515625" customWidth="1"/>
    <col min="19" max="19" width="13.140625" customWidth="1"/>
    <col min="20" max="20" width="5.7109375" customWidth="1"/>
    <col min="21" max="21" width="16.85546875" customWidth="1"/>
    <col min="22" max="22" width="17.140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>
      <c r="A7" s="50" t="s">
        <v>0</v>
      </c>
      <c r="B7" s="50"/>
      <c r="C7" s="50"/>
      <c r="D7" s="50"/>
      <c r="E7" s="50"/>
      <c r="F7" s="50"/>
      <c r="G7" s="50"/>
      <c r="H7" s="50"/>
      <c r="I7" s="50"/>
      <c r="J7" s="50"/>
      <c r="K7" s="50"/>
    </row>
    <row r="8" spans="1:11">
      <c r="A8" s="52" t="s">
        <v>1</v>
      </c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51" t="s">
        <v>2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>
      <c r="A12" s="3" t="s">
        <v>3</v>
      </c>
      <c r="B12" s="3"/>
      <c r="C12" s="3"/>
      <c r="D12" s="3"/>
      <c r="E12" s="4" t="s">
        <v>4</v>
      </c>
      <c r="F12" s="40" t="s">
        <v>39</v>
      </c>
      <c r="G12" s="3"/>
      <c r="H12" s="3"/>
      <c r="I12" s="3"/>
      <c r="J12" s="3"/>
      <c r="K12" s="3"/>
    </row>
    <row r="13" spans="1:11">
      <c r="A13" s="5" t="s">
        <v>5</v>
      </c>
      <c r="B13" s="5"/>
      <c r="C13" s="5"/>
      <c r="D13" s="5"/>
      <c r="E13" s="4" t="s">
        <v>4</v>
      </c>
      <c r="F13" s="45" t="s">
        <v>40</v>
      </c>
      <c r="G13" s="3"/>
      <c r="H13" s="3"/>
      <c r="I13" s="3"/>
      <c r="J13" s="3"/>
      <c r="K13" s="3"/>
    </row>
    <row r="14" spans="1:11" ht="15.75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thickTop="1">
      <c r="A15" s="6" t="s">
        <v>6</v>
      </c>
      <c r="B15" s="53" t="s">
        <v>7</v>
      </c>
      <c r="C15" s="54"/>
      <c r="D15" s="54"/>
      <c r="E15" s="54"/>
      <c r="F15" s="54"/>
      <c r="G15" s="54"/>
      <c r="H15" s="55"/>
      <c r="I15" s="56" t="s">
        <v>8</v>
      </c>
      <c r="J15" s="57"/>
      <c r="K15" s="7" t="s">
        <v>9</v>
      </c>
    </row>
    <row r="16" spans="1:11">
      <c r="A16" s="8"/>
      <c r="B16" s="9"/>
      <c r="C16" s="10"/>
      <c r="D16" s="10"/>
      <c r="E16" s="10"/>
      <c r="F16" s="10"/>
      <c r="G16" s="10"/>
      <c r="H16" s="11"/>
      <c r="I16" s="29"/>
      <c r="J16" s="30"/>
      <c r="K16" s="58"/>
    </row>
    <row r="17" spans="1:11">
      <c r="A17" s="8" t="s">
        <v>10</v>
      </c>
      <c r="B17" s="61" t="s">
        <v>27</v>
      </c>
      <c r="C17" s="62"/>
      <c r="D17" s="62"/>
      <c r="E17" s="62"/>
      <c r="F17" s="62"/>
      <c r="G17" s="62"/>
      <c r="H17" s="63"/>
      <c r="I17" s="31"/>
      <c r="J17" s="32"/>
      <c r="K17" s="59"/>
    </row>
    <row r="18" spans="1:11">
      <c r="A18" s="8"/>
      <c r="B18" s="12" t="s">
        <v>11</v>
      </c>
      <c r="C18" s="3" t="s">
        <v>37</v>
      </c>
      <c r="D18" s="3"/>
      <c r="E18" s="3"/>
      <c r="F18" s="4"/>
      <c r="G18" s="4" t="s">
        <v>12</v>
      </c>
      <c r="H18" s="13">
        <v>150000</v>
      </c>
      <c r="I18" s="31" t="s">
        <v>12</v>
      </c>
      <c r="J18" s="32">
        <f>(H18)</f>
        <v>150000</v>
      </c>
      <c r="K18" s="59"/>
    </row>
    <row r="19" spans="1:11">
      <c r="A19" s="8" t="s">
        <v>28</v>
      </c>
      <c r="B19" s="61" t="s">
        <v>41</v>
      </c>
      <c r="C19" s="62"/>
      <c r="D19" s="62"/>
      <c r="E19" s="62"/>
      <c r="F19" s="62"/>
      <c r="G19" s="62"/>
      <c r="H19" s="63"/>
      <c r="I19" s="33"/>
      <c r="J19" s="34"/>
      <c r="K19" s="59"/>
    </row>
    <row r="20" spans="1:11">
      <c r="A20" s="8"/>
      <c r="B20" s="12">
        <v>3</v>
      </c>
      <c r="C20" s="5" t="s">
        <v>29</v>
      </c>
      <c r="D20" s="5"/>
      <c r="E20" s="5"/>
      <c r="F20" s="4" t="s">
        <v>13</v>
      </c>
      <c r="G20" s="4" t="s">
        <v>12</v>
      </c>
      <c r="H20" s="13">
        <v>150000</v>
      </c>
      <c r="I20" s="12" t="s">
        <v>12</v>
      </c>
      <c r="J20" s="32">
        <f>B20*H20</f>
        <v>450000</v>
      </c>
      <c r="K20" s="59"/>
    </row>
    <row r="21" spans="1:11">
      <c r="A21" s="41" t="s">
        <v>30</v>
      </c>
      <c r="B21" s="61" t="s">
        <v>35</v>
      </c>
      <c r="C21" s="62"/>
      <c r="D21" s="62"/>
      <c r="E21" s="62"/>
      <c r="F21" s="62"/>
      <c r="G21" s="62"/>
      <c r="H21" s="63"/>
      <c r="I21" s="33"/>
      <c r="J21" s="32"/>
      <c r="K21" s="59"/>
    </row>
    <row r="22" spans="1:11">
      <c r="A22" s="8"/>
      <c r="B22" s="12">
        <v>2</v>
      </c>
      <c r="C22" s="3" t="s">
        <v>31</v>
      </c>
      <c r="D22" s="42"/>
      <c r="E22" s="43"/>
      <c r="F22" s="4" t="s">
        <v>13</v>
      </c>
      <c r="G22" s="4" t="s">
        <v>12</v>
      </c>
      <c r="H22" s="13">
        <v>200000</v>
      </c>
      <c r="I22" s="12" t="s">
        <v>12</v>
      </c>
      <c r="J22" s="32">
        <f>B22*H22</f>
        <v>400000</v>
      </c>
      <c r="K22" s="59"/>
    </row>
    <row r="23" spans="1:11">
      <c r="A23" s="8"/>
      <c r="B23" s="12"/>
      <c r="C23" s="3"/>
      <c r="D23" s="3"/>
      <c r="E23" s="3"/>
      <c r="F23" s="4"/>
      <c r="G23" s="4"/>
      <c r="H23" s="44"/>
      <c r="I23" s="31"/>
      <c r="J23" s="32"/>
      <c r="K23" s="59"/>
    </row>
    <row r="24" spans="1:11">
      <c r="A24" s="8"/>
      <c r="B24" s="14" t="s">
        <v>14</v>
      </c>
      <c r="C24" s="15"/>
      <c r="D24" s="15"/>
      <c r="E24" s="15"/>
      <c r="F24" s="15"/>
      <c r="G24" s="15"/>
      <c r="H24" s="16"/>
      <c r="I24" s="35" t="s">
        <v>12</v>
      </c>
      <c r="J24" s="36">
        <f>SUM(J18:J22)</f>
        <v>1000000</v>
      </c>
      <c r="K24" s="60"/>
    </row>
    <row r="25" spans="1:11" ht="15.75" thickBot="1">
      <c r="A25" s="17"/>
      <c r="B25" s="18" t="s">
        <v>15</v>
      </c>
      <c r="C25" s="19"/>
      <c r="D25" s="18" t="s">
        <v>38</v>
      </c>
      <c r="E25" s="18"/>
      <c r="F25" s="19"/>
      <c r="G25" s="19"/>
      <c r="H25" s="19"/>
      <c r="I25" s="19"/>
      <c r="J25" s="19"/>
      <c r="K25" s="37"/>
    </row>
    <row r="26" spans="1:11" ht="15.75" thickTop="1">
      <c r="A26" s="20"/>
      <c r="B26" s="21"/>
      <c r="C26" s="22"/>
      <c r="D26" s="21"/>
      <c r="E26" s="21"/>
      <c r="F26" s="22"/>
      <c r="G26" s="22"/>
      <c r="H26" s="22"/>
      <c r="I26" s="22"/>
      <c r="J26" s="22"/>
      <c r="K26" s="22"/>
    </row>
    <row r="27" spans="1:11">
      <c r="A27" s="3"/>
      <c r="B27" s="3"/>
      <c r="C27" s="3"/>
      <c r="D27" s="3"/>
      <c r="E27" s="3"/>
      <c r="F27" s="3"/>
      <c r="G27" s="3"/>
      <c r="H27" s="3"/>
      <c r="I27" s="5" t="s">
        <v>42</v>
      </c>
      <c r="J27" s="3"/>
      <c r="K27" s="5"/>
    </row>
    <row r="28" spans="1:11">
      <c r="A28" s="3"/>
      <c r="B28" s="3" t="s">
        <v>16</v>
      </c>
      <c r="C28" s="3"/>
      <c r="D28" s="3"/>
      <c r="E28" s="3"/>
      <c r="F28" s="3"/>
      <c r="G28" s="3"/>
      <c r="H28" s="3"/>
      <c r="I28" s="5" t="s">
        <v>17</v>
      </c>
      <c r="J28" s="4"/>
      <c r="K28" s="4"/>
    </row>
    <row r="29" spans="1:11">
      <c r="A29" s="3"/>
      <c r="B29" s="5" t="s">
        <v>12</v>
      </c>
      <c r="C29" s="48">
        <f>J24</f>
        <v>1000000</v>
      </c>
      <c r="D29" s="48"/>
      <c r="E29" s="23"/>
      <c r="F29" s="3"/>
      <c r="G29" s="3"/>
      <c r="H29" s="3"/>
      <c r="I29" s="5" t="s">
        <v>12</v>
      </c>
      <c r="J29" s="38">
        <f>C29</f>
        <v>1000000</v>
      </c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 t="s">
        <v>18</v>
      </c>
      <c r="C31" s="3"/>
      <c r="D31" s="3"/>
      <c r="E31" s="3"/>
      <c r="F31" s="3"/>
      <c r="G31" s="3"/>
      <c r="H31" s="3"/>
      <c r="I31" s="5" t="s">
        <v>19</v>
      </c>
      <c r="J31" s="3"/>
      <c r="K31" s="4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24" t="s">
        <v>32</v>
      </c>
      <c r="C35" s="24"/>
      <c r="D35" s="25"/>
      <c r="E35" s="25"/>
      <c r="F35" s="26"/>
      <c r="G35" s="26"/>
      <c r="H35" s="3"/>
      <c r="I35" s="26" t="s">
        <v>33</v>
      </c>
      <c r="J35" s="25"/>
      <c r="K35" s="25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>
      <c r="A38" s="49" t="s">
        <v>20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 t="s">
        <v>21</v>
      </c>
      <c r="C40" s="3"/>
      <c r="D40" s="3"/>
      <c r="E40" s="3"/>
      <c r="F40" s="3"/>
      <c r="G40" s="3"/>
      <c r="H40" s="3"/>
      <c r="I40" s="3" t="s">
        <v>22</v>
      </c>
      <c r="J40" s="38">
        <f>(J24)</f>
        <v>1000000</v>
      </c>
      <c r="K40" s="23"/>
    </row>
    <row r="41" spans="1:11">
      <c r="A41" s="3"/>
      <c r="B41" s="3" t="s">
        <v>23</v>
      </c>
      <c r="C41" s="3"/>
      <c r="D41" s="3"/>
      <c r="E41" s="3"/>
      <c r="F41" s="3"/>
      <c r="G41" s="3"/>
      <c r="H41" s="3"/>
      <c r="I41" s="3" t="s">
        <v>22</v>
      </c>
      <c r="J41" s="39">
        <f>(J29)</f>
        <v>1000000</v>
      </c>
      <c r="K41" s="3"/>
    </row>
    <row r="42" spans="1:11">
      <c r="A42" s="3"/>
      <c r="B42" s="3" t="s">
        <v>24</v>
      </c>
      <c r="C42" s="3"/>
      <c r="D42" s="3"/>
      <c r="E42" s="3"/>
      <c r="F42" s="3"/>
      <c r="G42" s="3"/>
      <c r="H42" s="3"/>
      <c r="I42" s="3" t="s">
        <v>22</v>
      </c>
      <c r="J42" s="23">
        <f>J40-J41</f>
        <v>0</v>
      </c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15" t="s">
        <v>25</v>
      </c>
      <c r="K44" s="4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5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5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5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24" t="s">
        <v>26</v>
      </c>
      <c r="K48" s="3"/>
    </row>
    <row r="49" spans="1:1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>
      <c r="A57" s="50" t="s">
        <v>0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</row>
    <row r="58" spans="1:11">
      <c r="A58" s="52" t="s">
        <v>1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51" t="s">
        <v>2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>
      <c r="A62" s="3" t="s">
        <v>3</v>
      </c>
      <c r="B62" s="3"/>
      <c r="C62" s="3"/>
      <c r="D62" s="3"/>
      <c r="E62" s="4" t="s">
        <v>4</v>
      </c>
      <c r="F62" s="40" t="s">
        <v>43</v>
      </c>
      <c r="G62" s="3"/>
      <c r="H62" s="3"/>
      <c r="I62" s="3"/>
      <c r="J62" s="3"/>
      <c r="K62" s="3"/>
    </row>
    <row r="63" spans="1:11">
      <c r="A63" s="5" t="s">
        <v>5</v>
      </c>
      <c r="B63" s="5"/>
      <c r="C63" s="5"/>
      <c r="D63" s="5"/>
      <c r="E63" s="4" t="s">
        <v>4</v>
      </c>
      <c r="F63" s="45" t="s">
        <v>40</v>
      </c>
      <c r="G63" s="3"/>
      <c r="H63" s="3"/>
      <c r="I63" s="3"/>
      <c r="J63" s="3"/>
      <c r="K63" s="3"/>
    </row>
    <row r="64" spans="1:11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thickTop="1">
      <c r="A65" s="6" t="s">
        <v>6</v>
      </c>
      <c r="B65" s="53" t="s">
        <v>7</v>
      </c>
      <c r="C65" s="54"/>
      <c r="D65" s="54"/>
      <c r="E65" s="54"/>
      <c r="F65" s="54"/>
      <c r="G65" s="54"/>
      <c r="H65" s="55"/>
      <c r="I65" s="56" t="s">
        <v>8</v>
      </c>
      <c r="J65" s="57"/>
      <c r="K65" s="7" t="s">
        <v>9</v>
      </c>
    </row>
    <row r="66" spans="1:11">
      <c r="A66" s="8"/>
      <c r="B66" s="9"/>
      <c r="C66" s="10"/>
      <c r="D66" s="10"/>
      <c r="E66" s="10"/>
      <c r="F66" s="10"/>
      <c r="G66" s="10"/>
      <c r="H66" s="11"/>
      <c r="I66" s="29"/>
      <c r="J66" s="30"/>
      <c r="K66" s="58"/>
    </row>
    <row r="67" spans="1:11">
      <c r="A67" s="8" t="s">
        <v>10</v>
      </c>
      <c r="B67" s="61" t="s">
        <v>27</v>
      </c>
      <c r="C67" s="62"/>
      <c r="D67" s="62"/>
      <c r="E67" s="62"/>
      <c r="F67" s="62"/>
      <c r="G67" s="62"/>
      <c r="H67" s="63"/>
      <c r="I67" s="31"/>
      <c r="J67" s="32"/>
      <c r="K67" s="59"/>
    </row>
    <row r="68" spans="1:11">
      <c r="A68" s="8"/>
      <c r="B68" s="12" t="s">
        <v>11</v>
      </c>
      <c r="C68" s="3" t="s">
        <v>37</v>
      </c>
      <c r="D68" s="3"/>
      <c r="E68" s="3"/>
      <c r="F68" s="4"/>
      <c r="G68" s="4" t="s">
        <v>12</v>
      </c>
      <c r="H68" s="13">
        <v>150000</v>
      </c>
      <c r="I68" s="31" t="s">
        <v>12</v>
      </c>
      <c r="J68" s="32">
        <f>(H68)</f>
        <v>150000</v>
      </c>
      <c r="K68" s="59"/>
    </row>
    <row r="69" spans="1:11">
      <c r="A69" s="8" t="s">
        <v>28</v>
      </c>
      <c r="B69" s="61" t="s">
        <v>41</v>
      </c>
      <c r="C69" s="62"/>
      <c r="D69" s="62"/>
      <c r="E69" s="62"/>
      <c r="F69" s="62"/>
      <c r="G69" s="62"/>
      <c r="H69" s="63"/>
      <c r="I69" s="33"/>
      <c r="J69" s="34"/>
      <c r="K69" s="59"/>
    </row>
    <row r="70" spans="1:11">
      <c r="A70" s="8"/>
      <c r="B70" s="12">
        <v>3</v>
      </c>
      <c r="C70" s="5" t="s">
        <v>29</v>
      </c>
      <c r="D70" s="5"/>
      <c r="E70" s="5"/>
      <c r="F70" s="4" t="s">
        <v>13</v>
      </c>
      <c r="G70" s="4" t="s">
        <v>12</v>
      </c>
      <c r="H70" s="13">
        <v>150000</v>
      </c>
      <c r="I70" s="12" t="s">
        <v>12</v>
      </c>
      <c r="J70" s="32">
        <f>B70*H70</f>
        <v>450000</v>
      </c>
      <c r="K70" s="59"/>
    </row>
    <row r="71" spans="1:11">
      <c r="A71" s="41" t="s">
        <v>30</v>
      </c>
      <c r="B71" s="61" t="s">
        <v>35</v>
      </c>
      <c r="C71" s="62"/>
      <c r="D71" s="62"/>
      <c r="E71" s="62"/>
      <c r="F71" s="62"/>
      <c r="G71" s="62"/>
      <c r="H71" s="63"/>
      <c r="I71" s="33"/>
      <c r="J71" s="32"/>
      <c r="K71" s="59"/>
    </row>
    <row r="72" spans="1:11">
      <c r="A72" s="8"/>
      <c r="B72" s="12">
        <v>2</v>
      </c>
      <c r="C72" s="3" t="s">
        <v>31</v>
      </c>
      <c r="D72" s="42"/>
      <c r="E72" s="43"/>
      <c r="F72" s="4" t="s">
        <v>13</v>
      </c>
      <c r="G72" s="4" t="s">
        <v>12</v>
      </c>
      <c r="H72" s="13">
        <v>200000</v>
      </c>
      <c r="I72" s="12" t="s">
        <v>12</v>
      </c>
      <c r="J72" s="32">
        <f>B72*H72</f>
        <v>400000</v>
      </c>
      <c r="K72" s="59"/>
    </row>
    <row r="73" spans="1:11">
      <c r="A73" s="8"/>
      <c r="B73" s="12"/>
      <c r="C73" s="3"/>
      <c r="D73" s="3"/>
      <c r="E73" s="3"/>
      <c r="F73" s="4"/>
      <c r="G73" s="4"/>
      <c r="H73" s="44"/>
      <c r="I73" s="31"/>
      <c r="J73" s="32"/>
      <c r="K73" s="59"/>
    </row>
    <row r="74" spans="1:11">
      <c r="A74" s="8"/>
      <c r="B74" s="14" t="s">
        <v>14</v>
      </c>
      <c r="C74" s="15"/>
      <c r="D74" s="15"/>
      <c r="E74" s="15"/>
      <c r="F74" s="15"/>
      <c r="G74" s="15"/>
      <c r="H74" s="16"/>
      <c r="I74" s="35" t="s">
        <v>12</v>
      </c>
      <c r="J74" s="36">
        <f>SUM(J68:J72)</f>
        <v>1000000</v>
      </c>
      <c r="K74" s="60"/>
    </row>
    <row r="75" spans="1:11" ht="15.75" thickBot="1">
      <c r="A75" s="17"/>
      <c r="B75" s="18" t="s">
        <v>15</v>
      </c>
      <c r="C75" s="19"/>
      <c r="D75" s="18" t="s">
        <v>38</v>
      </c>
      <c r="E75" s="18"/>
      <c r="F75" s="19"/>
      <c r="G75" s="19"/>
      <c r="H75" s="19"/>
      <c r="I75" s="19"/>
      <c r="J75" s="19"/>
      <c r="K75" s="37"/>
    </row>
    <row r="76" spans="1:11" ht="15.75" thickTop="1">
      <c r="A76" s="20"/>
      <c r="B76" s="21"/>
      <c r="C76" s="22"/>
      <c r="D76" s="21"/>
      <c r="E76" s="21"/>
      <c r="F76" s="22"/>
      <c r="G76" s="22"/>
      <c r="H76" s="22"/>
      <c r="I76" s="22"/>
      <c r="J76" s="22"/>
      <c r="K76" s="22"/>
    </row>
    <row r="77" spans="1:11">
      <c r="A77" s="3"/>
      <c r="B77" s="3"/>
      <c r="C77" s="3"/>
      <c r="D77" s="3"/>
      <c r="E77" s="3"/>
      <c r="F77" s="3"/>
      <c r="G77" s="3"/>
      <c r="H77" s="3"/>
      <c r="I77" s="5" t="s">
        <v>42</v>
      </c>
      <c r="J77" s="3"/>
      <c r="K77" s="5"/>
    </row>
    <row r="78" spans="1:11">
      <c r="A78" s="3"/>
      <c r="B78" s="3" t="s">
        <v>16</v>
      </c>
      <c r="C78" s="3"/>
      <c r="D78" s="3"/>
      <c r="E78" s="3"/>
      <c r="F78" s="3"/>
      <c r="G78" s="3"/>
      <c r="H78" s="3"/>
      <c r="I78" s="5" t="s">
        <v>17</v>
      </c>
      <c r="J78" s="4"/>
      <c r="K78" s="4"/>
    </row>
    <row r="79" spans="1:11">
      <c r="A79" s="3"/>
      <c r="B79" s="5" t="s">
        <v>12</v>
      </c>
      <c r="C79" s="48">
        <f>J74</f>
        <v>1000000</v>
      </c>
      <c r="D79" s="48"/>
      <c r="E79" s="23"/>
      <c r="F79" s="3"/>
      <c r="G79" s="3"/>
      <c r="H79" s="3"/>
      <c r="I79" s="5" t="s">
        <v>12</v>
      </c>
      <c r="J79" s="38">
        <f>C79</f>
        <v>1000000</v>
      </c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 t="s">
        <v>18</v>
      </c>
      <c r="C81" s="3"/>
      <c r="D81" s="3"/>
      <c r="E81" s="3"/>
      <c r="F81" s="3"/>
      <c r="G81" s="3"/>
      <c r="H81" s="3"/>
      <c r="I81" s="5" t="s">
        <v>19</v>
      </c>
      <c r="J81" s="3"/>
      <c r="K81" s="4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24" t="s">
        <v>32</v>
      </c>
      <c r="C85" s="24"/>
      <c r="D85" s="25"/>
      <c r="E85" s="25"/>
      <c r="F85" s="26"/>
      <c r="G85" s="26"/>
      <c r="H85" s="3"/>
      <c r="I85" s="26" t="s">
        <v>34</v>
      </c>
      <c r="J85" s="25"/>
      <c r="K85" s="25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spans="1:11">
      <c r="A88" s="49" t="s">
        <v>20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 t="s">
        <v>21</v>
      </c>
      <c r="C90" s="3"/>
      <c r="D90" s="3"/>
      <c r="E90" s="3"/>
      <c r="F90" s="3"/>
      <c r="G90" s="3"/>
      <c r="H90" s="3"/>
      <c r="I90" s="3" t="s">
        <v>22</v>
      </c>
      <c r="J90" s="38">
        <f>(J74)</f>
        <v>1000000</v>
      </c>
      <c r="K90" s="23"/>
    </row>
    <row r="91" spans="1:11">
      <c r="A91" s="3"/>
      <c r="B91" s="3" t="s">
        <v>23</v>
      </c>
      <c r="C91" s="3"/>
      <c r="D91" s="3"/>
      <c r="E91" s="3"/>
      <c r="F91" s="3"/>
      <c r="G91" s="3"/>
      <c r="H91" s="3"/>
      <c r="I91" s="3" t="s">
        <v>22</v>
      </c>
      <c r="J91" s="39">
        <f>(J79)</f>
        <v>1000000</v>
      </c>
      <c r="K91" s="3"/>
    </row>
    <row r="92" spans="1:11">
      <c r="A92" s="3"/>
      <c r="B92" s="3" t="s">
        <v>24</v>
      </c>
      <c r="C92" s="3"/>
      <c r="D92" s="3"/>
      <c r="E92" s="3"/>
      <c r="F92" s="3"/>
      <c r="G92" s="3"/>
      <c r="H92" s="3"/>
      <c r="I92" s="3" t="s">
        <v>22</v>
      </c>
      <c r="J92" s="23">
        <f>J90-J91</f>
        <v>0</v>
      </c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15" t="s">
        <v>25</v>
      </c>
      <c r="K94" s="4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5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5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5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24" t="s">
        <v>26</v>
      </c>
      <c r="K98" s="3"/>
    </row>
    <row r="99" spans="1:1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>
      <c r="A107" s="50" t="s">
        <v>0</v>
      </c>
      <c r="B107" s="50"/>
      <c r="C107" s="50"/>
      <c r="D107" s="50"/>
      <c r="E107" s="50"/>
      <c r="F107" s="50"/>
      <c r="G107" s="50"/>
      <c r="H107" s="50"/>
      <c r="I107" s="50"/>
      <c r="J107" s="50"/>
      <c r="K107" s="50"/>
    </row>
    <row r="108" spans="1:11">
      <c r="A108" s="52" t="s">
        <v>1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</row>
    <row r="109" spans="1:1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51" t="s">
        <v>2</v>
      </c>
      <c r="B110" s="51"/>
      <c r="C110" s="51"/>
      <c r="D110" s="51"/>
      <c r="E110" s="51"/>
      <c r="F110" s="51"/>
      <c r="G110" s="51"/>
      <c r="H110" s="51"/>
      <c r="I110" s="51"/>
      <c r="J110" s="51"/>
      <c r="K110" s="5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>
      <c r="A112" s="3" t="s">
        <v>3</v>
      </c>
      <c r="B112" s="3"/>
      <c r="C112" s="3"/>
      <c r="D112" s="3"/>
      <c r="E112" s="4" t="s">
        <v>4</v>
      </c>
      <c r="F112" s="40" t="s">
        <v>44</v>
      </c>
      <c r="G112" s="3"/>
      <c r="H112" s="3"/>
      <c r="I112" s="3"/>
      <c r="J112" s="3"/>
      <c r="K112" s="3"/>
    </row>
    <row r="113" spans="1:11">
      <c r="A113" s="5" t="s">
        <v>5</v>
      </c>
      <c r="B113" s="5"/>
      <c r="C113" s="5"/>
      <c r="D113" s="5"/>
      <c r="E113" s="4" t="s">
        <v>4</v>
      </c>
      <c r="F113" s="45" t="s">
        <v>40</v>
      </c>
      <c r="G113" s="3"/>
      <c r="H113" s="3"/>
      <c r="I113" s="3"/>
      <c r="J113" s="3"/>
      <c r="K113" s="3"/>
    </row>
    <row r="114" spans="1:11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thickTop="1">
      <c r="A115" s="6" t="s">
        <v>6</v>
      </c>
      <c r="B115" s="53" t="s">
        <v>7</v>
      </c>
      <c r="C115" s="54"/>
      <c r="D115" s="54"/>
      <c r="E115" s="54"/>
      <c r="F115" s="54"/>
      <c r="G115" s="54"/>
      <c r="H115" s="55"/>
      <c r="I115" s="56" t="s">
        <v>8</v>
      </c>
      <c r="J115" s="57"/>
      <c r="K115" s="7" t="s">
        <v>9</v>
      </c>
    </row>
    <row r="116" spans="1:11">
      <c r="A116" s="8"/>
      <c r="B116" s="9"/>
      <c r="C116" s="10"/>
      <c r="D116" s="10"/>
      <c r="E116" s="10"/>
      <c r="F116" s="10"/>
      <c r="G116" s="10"/>
      <c r="H116" s="11"/>
      <c r="I116" s="29"/>
      <c r="J116" s="30"/>
      <c r="K116" s="58"/>
    </row>
    <row r="117" spans="1:11">
      <c r="A117" s="8" t="s">
        <v>10</v>
      </c>
      <c r="B117" s="61" t="s">
        <v>27</v>
      </c>
      <c r="C117" s="62"/>
      <c r="D117" s="62"/>
      <c r="E117" s="62"/>
      <c r="F117" s="62"/>
      <c r="G117" s="62"/>
      <c r="H117" s="63"/>
      <c r="I117" s="31"/>
      <c r="J117" s="32"/>
      <c r="K117" s="59"/>
    </row>
    <row r="118" spans="1:11">
      <c r="A118" s="8"/>
      <c r="B118" s="12" t="s">
        <v>11</v>
      </c>
      <c r="C118" s="3" t="s">
        <v>37</v>
      </c>
      <c r="D118" s="3"/>
      <c r="E118" s="3"/>
      <c r="F118" s="4"/>
      <c r="G118" s="4" t="s">
        <v>12</v>
      </c>
      <c r="H118" s="13">
        <v>150000</v>
      </c>
      <c r="I118" s="31" t="s">
        <v>12</v>
      </c>
      <c r="J118" s="32">
        <f>(H118)</f>
        <v>150000</v>
      </c>
      <c r="K118" s="59"/>
    </row>
    <row r="119" spans="1:11">
      <c r="A119" s="8" t="s">
        <v>28</v>
      </c>
      <c r="B119" s="61" t="s">
        <v>41</v>
      </c>
      <c r="C119" s="62"/>
      <c r="D119" s="62"/>
      <c r="E119" s="62"/>
      <c r="F119" s="62"/>
      <c r="G119" s="62"/>
      <c r="H119" s="63"/>
      <c r="I119" s="33"/>
      <c r="J119" s="34"/>
      <c r="K119" s="59"/>
    </row>
    <row r="120" spans="1:11">
      <c r="A120" s="8"/>
      <c r="B120" s="12">
        <v>3</v>
      </c>
      <c r="C120" s="5" t="s">
        <v>29</v>
      </c>
      <c r="D120" s="5"/>
      <c r="E120" s="5"/>
      <c r="F120" s="4" t="s">
        <v>13</v>
      </c>
      <c r="G120" s="4" t="s">
        <v>12</v>
      </c>
      <c r="H120" s="13">
        <v>150000</v>
      </c>
      <c r="I120" s="12" t="s">
        <v>12</v>
      </c>
      <c r="J120" s="32">
        <f>B120*H120</f>
        <v>450000</v>
      </c>
      <c r="K120" s="59"/>
    </row>
    <row r="121" spans="1:11">
      <c r="A121" s="41" t="s">
        <v>30</v>
      </c>
      <c r="B121" s="61" t="s">
        <v>35</v>
      </c>
      <c r="C121" s="62"/>
      <c r="D121" s="62"/>
      <c r="E121" s="62"/>
      <c r="F121" s="62"/>
      <c r="G121" s="62"/>
      <c r="H121" s="63"/>
      <c r="I121" s="33"/>
      <c r="J121" s="32"/>
      <c r="K121" s="59"/>
    </row>
    <row r="122" spans="1:11">
      <c r="A122" s="8"/>
      <c r="B122" s="12">
        <v>2</v>
      </c>
      <c r="C122" s="3" t="s">
        <v>31</v>
      </c>
      <c r="D122" s="42"/>
      <c r="E122" s="43"/>
      <c r="F122" s="4" t="s">
        <v>13</v>
      </c>
      <c r="G122" s="4" t="s">
        <v>12</v>
      </c>
      <c r="H122" s="13">
        <v>200000</v>
      </c>
      <c r="I122" s="12" t="s">
        <v>12</v>
      </c>
      <c r="J122" s="32">
        <f>B122*H122</f>
        <v>400000</v>
      </c>
      <c r="K122" s="59"/>
    </row>
    <row r="123" spans="1:11">
      <c r="A123" s="8"/>
      <c r="B123" s="12"/>
      <c r="C123" s="3"/>
      <c r="D123" s="3"/>
      <c r="E123" s="3"/>
      <c r="F123" s="4"/>
      <c r="G123" s="4"/>
      <c r="H123" s="44"/>
      <c r="I123" s="31"/>
      <c r="J123" s="32"/>
      <c r="K123" s="59"/>
    </row>
    <row r="124" spans="1:11">
      <c r="A124" s="8"/>
      <c r="B124" s="14" t="s">
        <v>14</v>
      </c>
      <c r="C124" s="15"/>
      <c r="D124" s="15"/>
      <c r="E124" s="15"/>
      <c r="F124" s="15"/>
      <c r="G124" s="15"/>
      <c r="H124" s="16"/>
      <c r="I124" s="35" t="s">
        <v>12</v>
      </c>
      <c r="J124" s="36">
        <f>SUM(J118:J122)</f>
        <v>1000000</v>
      </c>
      <c r="K124" s="60"/>
    </row>
    <row r="125" spans="1:11" ht="15.75" thickBot="1">
      <c r="A125" s="17"/>
      <c r="B125" s="18" t="s">
        <v>15</v>
      </c>
      <c r="C125" s="19"/>
      <c r="D125" s="18" t="s">
        <v>38</v>
      </c>
      <c r="E125" s="18"/>
      <c r="F125" s="19"/>
      <c r="G125" s="19"/>
      <c r="H125" s="19"/>
      <c r="I125" s="19"/>
      <c r="J125" s="19"/>
      <c r="K125" s="37"/>
    </row>
    <row r="126" spans="1:11" ht="15.75" thickTop="1">
      <c r="A126" s="20"/>
      <c r="B126" s="21"/>
      <c r="C126" s="22"/>
      <c r="D126" s="21"/>
      <c r="E126" s="21"/>
      <c r="F126" s="22"/>
      <c r="G126" s="22"/>
      <c r="H126" s="22"/>
      <c r="I126" s="22"/>
      <c r="J126" s="22"/>
      <c r="K126" s="22"/>
    </row>
    <row r="127" spans="1:11">
      <c r="A127" s="3"/>
      <c r="B127" s="3"/>
      <c r="C127" s="3"/>
      <c r="D127" s="3"/>
      <c r="E127" s="3"/>
      <c r="F127" s="3"/>
      <c r="G127" s="3"/>
      <c r="H127" s="3"/>
      <c r="I127" s="5" t="s">
        <v>42</v>
      </c>
      <c r="J127" s="3"/>
      <c r="K127" s="5"/>
    </row>
    <row r="128" spans="1:11">
      <c r="A128" s="3"/>
      <c r="B128" s="3" t="s">
        <v>16</v>
      </c>
      <c r="C128" s="3"/>
      <c r="D128" s="3"/>
      <c r="E128" s="3"/>
      <c r="F128" s="3"/>
      <c r="G128" s="3"/>
      <c r="H128" s="3"/>
      <c r="I128" s="5" t="s">
        <v>17</v>
      </c>
      <c r="J128" s="4"/>
      <c r="K128" s="4"/>
    </row>
    <row r="129" spans="1:11">
      <c r="A129" s="3"/>
      <c r="B129" s="5" t="s">
        <v>12</v>
      </c>
      <c r="C129" s="48">
        <f>J124</f>
        <v>1000000</v>
      </c>
      <c r="D129" s="48"/>
      <c r="E129" s="23"/>
      <c r="F129" s="3"/>
      <c r="G129" s="3"/>
      <c r="H129" s="3"/>
      <c r="I129" s="5" t="s">
        <v>12</v>
      </c>
      <c r="J129" s="38">
        <f>C129</f>
        <v>1000000</v>
      </c>
      <c r="K129" s="3"/>
    </row>
    <row r="130" spans="1:1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>
      <c r="A131" s="3"/>
      <c r="B131" s="3" t="s">
        <v>18</v>
      </c>
      <c r="C131" s="3"/>
      <c r="D131" s="3"/>
      <c r="E131" s="3"/>
      <c r="F131" s="3"/>
      <c r="G131" s="3"/>
      <c r="H131" s="3"/>
      <c r="I131" s="5" t="s">
        <v>19</v>
      </c>
      <c r="J131" s="3"/>
      <c r="K131" s="4"/>
    </row>
    <row r="132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>
      <c r="A135" s="3"/>
      <c r="B135" s="24" t="s">
        <v>32</v>
      </c>
      <c r="C135" s="24"/>
      <c r="D135" s="25"/>
      <c r="E135" s="25"/>
      <c r="F135" s="26"/>
      <c r="G135" s="26"/>
      <c r="H135" s="3"/>
      <c r="I135" s="26" t="s">
        <v>36</v>
      </c>
      <c r="J135" s="25"/>
      <c r="K135" s="25"/>
    </row>
    <row r="136" spans="1:1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 spans="1:11">
      <c r="A138" s="49" t="s">
        <v>20</v>
      </c>
      <c r="B138" s="49"/>
      <c r="C138" s="49"/>
      <c r="D138" s="49"/>
      <c r="E138" s="49"/>
      <c r="F138" s="49"/>
      <c r="G138" s="49"/>
      <c r="H138" s="49"/>
      <c r="I138" s="49"/>
      <c r="J138" s="49"/>
      <c r="K138" s="49"/>
    </row>
    <row r="139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>
      <c r="A140" s="3"/>
      <c r="B140" s="3" t="s">
        <v>21</v>
      </c>
      <c r="C140" s="3"/>
      <c r="D140" s="3"/>
      <c r="E140" s="3"/>
      <c r="F140" s="3"/>
      <c r="G140" s="3"/>
      <c r="H140" s="3"/>
      <c r="I140" s="3" t="s">
        <v>22</v>
      </c>
      <c r="J140" s="38">
        <f>(J124)</f>
        <v>1000000</v>
      </c>
      <c r="K140" s="23"/>
    </row>
    <row r="141" spans="1:11">
      <c r="A141" s="3"/>
      <c r="B141" s="3" t="s">
        <v>23</v>
      </c>
      <c r="C141" s="3"/>
      <c r="D141" s="3"/>
      <c r="E141" s="3"/>
      <c r="F141" s="3"/>
      <c r="G141" s="3"/>
      <c r="H141" s="3"/>
      <c r="I141" s="3" t="s">
        <v>22</v>
      </c>
      <c r="J141" s="39">
        <f>(J129)</f>
        <v>1000000</v>
      </c>
      <c r="K141" s="3"/>
    </row>
    <row r="142" spans="1:11">
      <c r="A142" s="3"/>
      <c r="B142" s="3" t="s">
        <v>24</v>
      </c>
      <c r="C142" s="3"/>
      <c r="D142" s="3"/>
      <c r="E142" s="3"/>
      <c r="F142" s="3"/>
      <c r="G142" s="3"/>
      <c r="H142" s="3"/>
      <c r="I142" s="3" t="s">
        <v>22</v>
      </c>
      <c r="J142" s="23">
        <f>J140-J141</f>
        <v>0</v>
      </c>
      <c r="K142" s="3"/>
    </row>
    <row r="143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>
      <c r="A144" s="3"/>
      <c r="B144" s="3"/>
      <c r="C144" s="3"/>
      <c r="D144" s="3"/>
      <c r="E144" s="3"/>
      <c r="F144" s="3"/>
      <c r="G144" s="3"/>
      <c r="H144" s="3"/>
      <c r="I144" s="3"/>
      <c r="J144" s="15" t="s">
        <v>25</v>
      </c>
      <c r="K144" s="4"/>
    </row>
    <row r="145" spans="1:11">
      <c r="A145" s="3"/>
      <c r="B145" s="3"/>
      <c r="C145" s="3"/>
      <c r="D145" s="3"/>
      <c r="E145" s="3"/>
      <c r="F145" s="3"/>
      <c r="G145" s="3"/>
      <c r="H145" s="3"/>
      <c r="I145" s="3"/>
      <c r="J145" s="5"/>
      <c r="K145" s="3"/>
    </row>
    <row r="146" spans="1:11">
      <c r="A146" s="3"/>
      <c r="B146" s="3"/>
      <c r="C146" s="3"/>
      <c r="D146" s="3"/>
      <c r="E146" s="3"/>
      <c r="F146" s="3"/>
      <c r="G146" s="3"/>
      <c r="H146" s="3"/>
      <c r="I146" s="3"/>
      <c r="J146" s="5"/>
      <c r="K146" s="3"/>
    </row>
    <row r="147" spans="1:11">
      <c r="A147" s="3"/>
      <c r="B147" s="3"/>
      <c r="C147" s="3"/>
      <c r="D147" s="3"/>
      <c r="E147" s="3"/>
      <c r="F147" s="3"/>
      <c r="G147" s="3"/>
      <c r="H147" s="3"/>
      <c r="I147" s="3"/>
      <c r="J147" s="5"/>
      <c r="K147" s="3"/>
    </row>
    <row r="148" spans="1:11">
      <c r="A148" s="3"/>
      <c r="B148" s="3"/>
      <c r="C148" s="3"/>
      <c r="D148" s="3"/>
      <c r="E148" s="3"/>
      <c r="F148" s="3"/>
      <c r="G148" s="3"/>
      <c r="H148" s="3"/>
      <c r="I148" s="3"/>
      <c r="J148" s="24" t="s">
        <v>26</v>
      </c>
      <c r="K148" s="3"/>
    </row>
    <row r="149" spans="1:1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>
      <c r="A158" s="50" t="s">
        <v>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</row>
    <row r="159" spans="1:11">
      <c r="A159" s="52" t="s">
        <v>1</v>
      </c>
      <c r="B159" s="52"/>
      <c r="C159" s="52"/>
      <c r="D159" s="52"/>
      <c r="E159" s="52"/>
      <c r="F159" s="52"/>
      <c r="G159" s="52"/>
      <c r="H159" s="52"/>
      <c r="I159" s="52"/>
      <c r="J159" s="52"/>
      <c r="K159" s="52"/>
    </row>
    <row r="160" spans="1:1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>
      <c r="A161" s="51" t="s">
        <v>2</v>
      </c>
      <c r="B161" s="51"/>
      <c r="C161" s="51"/>
      <c r="D161" s="51"/>
      <c r="E161" s="51"/>
      <c r="F161" s="51"/>
      <c r="G161" s="51"/>
      <c r="H161" s="51"/>
      <c r="I161" s="51"/>
      <c r="J161" s="51"/>
      <c r="K161" s="5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>
      <c r="A163" s="3" t="s">
        <v>3</v>
      </c>
      <c r="B163" s="3"/>
      <c r="C163" s="3"/>
      <c r="D163" s="3"/>
      <c r="E163" s="4" t="s">
        <v>4</v>
      </c>
      <c r="F163" s="40" t="s">
        <v>45</v>
      </c>
      <c r="G163" s="3"/>
      <c r="H163" s="3"/>
      <c r="I163" s="3"/>
      <c r="J163" s="3"/>
      <c r="K163" s="3"/>
    </row>
    <row r="164" spans="1:11">
      <c r="A164" s="5" t="s">
        <v>5</v>
      </c>
      <c r="B164" s="5"/>
      <c r="C164" s="5"/>
      <c r="D164" s="5"/>
      <c r="E164" s="4" t="s">
        <v>4</v>
      </c>
      <c r="F164" s="45" t="s">
        <v>46</v>
      </c>
      <c r="G164" s="3"/>
      <c r="H164" s="3"/>
      <c r="I164" s="3"/>
      <c r="J164" s="3"/>
      <c r="K164" s="3"/>
    </row>
    <row r="165" spans="1:11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thickTop="1">
      <c r="A166" s="6" t="s">
        <v>6</v>
      </c>
      <c r="B166" s="53" t="s">
        <v>7</v>
      </c>
      <c r="C166" s="54"/>
      <c r="D166" s="54"/>
      <c r="E166" s="54"/>
      <c r="F166" s="54"/>
      <c r="G166" s="54"/>
      <c r="H166" s="55"/>
      <c r="I166" s="56" t="s">
        <v>8</v>
      </c>
      <c r="J166" s="57"/>
      <c r="K166" s="7" t="s">
        <v>9</v>
      </c>
    </row>
    <row r="167" spans="1:11">
      <c r="A167" s="8"/>
      <c r="B167" s="9"/>
      <c r="C167" s="10"/>
      <c r="D167" s="10"/>
      <c r="E167" s="10"/>
      <c r="F167" s="10"/>
      <c r="G167" s="10"/>
      <c r="H167" s="11"/>
      <c r="I167" s="29"/>
      <c r="J167" s="30"/>
      <c r="K167" s="58"/>
    </row>
    <row r="168" spans="1:11">
      <c r="A168" s="8" t="s">
        <v>10</v>
      </c>
      <c r="B168" s="61" t="s">
        <v>27</v>
      </c>
      <c r="C168" s="62"/>
      <c r="D168" s="62"/>
      <c r="E168" s="62"/>
      <c r="F168" s="62"/>
      <c r="G168" s="62"/>
      <c r="H168" s="63"/>
      <c r="I168" s="31"/>
      <c r="J168" s="32"/>
      <c r="K168" s="59"/>
    </row>
    <row r="169" spans="1:11">
      <c r="A169" s="8"/>
      <c r="B169" s="12" t="s">
        <v>11</v>
      </c>
      <c r="C169" s="3" t="s">
        <v>47</v>
      </c>
      <c r="D169" s="3"/>
      <c r="E169" s="3"/>
      <c r="F169" s="4"/>
      <c r="G169" s="4" t="s">
        <v>12</v>
      </c>
      <c r="H169" s="13">
        <v>500000</v>
      </c>
      <c r="I169" s="31" t="s">
        <v>12</v>
      </c>
      <c r="J169" s="32">
        <f>(H169)</f>
        <v>500000</v>
      </c>
      <c r="K169" s="59"/>
    </row>
    <row r="170" spans="1:11">
      <c r="A170" s="8"/>
      <c r="B170" s="12" t="s">
        <v>11</v>
      </c>
      <c r="C170" s="3" t="s">
        <v>48</v>
      </c>
      <c r="D170" s="3"/>
      <c r="E170" s="3"/>
      <c r="F170" s="4"/>
      <c r="G170" s="4" t="s">
        <v>12</v>
      </c>
      <c r="H170" s="13">
        <v>0</v>
      </c>
      <c r="I170" s="31" t="s">
        <v>12</v>
      </c>
      <c r="J170" s="32">
        <f>(H170)</f>
        <v>0</v>
      </c>
      <c r="K170" s="59"/>
    </row>
    <row r="171" spans="1:11">
      <c r="A171" s="8" t="s">
        <v>28</v>
      </c>
      <c r="B171" s="61" t="s">
        <v>49</v>
      </c>
      <c r="C171" s="62"/>
      <c r="D171" s="62"/>
      <c r="E171" s="62"/>
      <c r="F171" s="62"/>
      <c r="G171" s="62"/>
      <c r="H171" s="63"/>
      <c r="I171" s="33"/>
      <c r="J171" s="34"/>
      <c r="K171" s="59"/>
    </row>
    <row r="172" spans="1:11">
      <c r="A172" s="8"/>
      <c r="B172" s="12">
        <v>2</v>
      </c>
      <c r="C172" s="5" t="s">
        <v>29</v>
      </c>
      <c r="D172" s="5"/>
      <c r="E172" s="5"/>
      <c r="F172" s="4" t="s">
        <v>13</v>
      </c>
      <c r="G172" s="4" t="s">
        <v>12</v>
      </c>
      <c r="H172" s="13">
        <v>370000</v>
      </c>
      <c r="I172" s="12" t="s">
        <v>12</v>
      </c>
      <c r="J172" s="32">
        <f>B172*H172</f>
        <v>740000</v>
      </c>
      <c r="K172" s="59"/>
    </row>
    <row r="173" spans="1:11">
      <c r="A173" s="41" t="s">
        <v>30</v>
      </c>
      <c r="B173" s="61" t="s">
        <v>35</v>
      </c>
      <c r="C173" s="62"/>
      <c r="D173" s="62"/>
      <c r="E173" s="62"/>
      <c r="F173" s="62"/>
      <c r="G173" s="62"/>
      <c r="H173" s="63"/>
      <c r="I173" s="33"/>
      <c r="J173" s="32"/>
      <c r="K173" s="59"/>
    </row>
    <row r="174" spans="1:11">
      <c r="A174" s="8"/>
      <c r="B174" s="12">
        <v>2</v>
      </c>
      <c r="C174" s="3" t="s">
        <v>31</v>
      </c>
      <c r="D174" s="42"/>
      <c r="E174" s="43"/>
      <c r="F174" s="4" t="s">
        <v>13</v>
      </c>
      <c r="G174" s="4" t="s">
        <v>12</v>
      </c>
      <c r="H174" s="13">
        <v>650000</v>
      </c>
      <c r="I174" s="12" t="s">
        <v>12</v>
      </c>
      <c r="J174" s="32">
        <f>B174*H174</f>
        <v>1300000</v>
      </c>
      <c r="K174" s="59"/>
    </row>
    <row r="175" spans="1:11">
      <c r="A175" s="8"/>
      <c r="B175" s="12"/>
      <c r="C175" s="3"/>
      <c r="D175" s="3"/>
      <c r="E175" s="3"/>
      <c r="F175" s="4"/>
      <c r="G175" s="4"/>
      <c r="H175" s="44"/>
      <c r="I175" s="31"/>
      <c r="J175" s="32"/>
      <c r="K175" s="59"/>
    </row>
    <row r="176" spans="1:11">
      <c r="A176" s="8"/>
      <c r="B176" s="14" t="s">
        <v>14</v>
      </c>
      <c r="C176" s="15"/>
      <c r="D176" s="15"/>
      <c r="E176" s="15"/>
      <c r="F176" s="15"/>
      <c r="G176" s="15"/>
      <c r="H176" s="16"/>
      <c r="I176" s="35" t="s">
        <v>12</v>
      </c>
      <c r="J176" s="36">
        <f>SUM(J169:J174)</f>
        <v>2540000</v>
      </c>
      <c r="K176" s="60"/>
    </row>
    <row r="177" spans="1:11" ht="15.75" thickBot="1">
      <c r="A177" s="17"/>
      <c r="B177" s="18" t="s">
        <v>15</v>
      </c>
      <c r="C177" s="19"/>
      <c r="D177" s="18" t="s">
        <v>52</v>
      </c>
      <c r="E177" s="18"/>
      <c r="F177" s="19"/>
      <c r="G177" s="19"/>
      <c r="H177" s="19"/>
      <c r="I177" s="19"/>
      <c r="J177" s="19"/>
      <c r="K177" s="37"/>
    </row>
    <row r="178" spans="1:11" ht="15.75" thickTop="1">
      <c r="A178" s="20"/>
      <c r="B178" s="21"/>
      <c r="C178" s="22"/>
      <c r="D178" s="21"/>
      <c r="E178" s="21"/>
      <c r="F178" s="22"/>
      <c r="G178" s="22"/>
      <c r="H178" s="22"/>
      <c r="I178" s="22"/>
      <c r="J178" s="22"/>
      <c r="K178" s="22"/>
    </row>
    <row r="179" spans="1:11">
      <c r="A179" s="3"/>
      <c r="B179" s="3"/>
      <c r="C179" s="3"/>
      <c r="D179" s="3"/>
      <c r="E179" s="3"/>
      <c r="F179" s="3"/>
      <c r="G179" s="3"/>
      <c r="H179" s="3"/>
      <c r="I179" s="5" t="s">
        <v>50</v>
      </c>
      <c r="J179" s="3"/>
      <c r="K179" s="5"/>
    </row>
    <row r="180" spans="1:11">
      <c r="A180" s="3"/>
      <c r="B180" s="3" t="s">
        <v>16</v>
      </c>
      <c r="C180" s="3"/>
      <c r="D180" s="3"/>
      <c r="E180" s="3"/>
      <c r="F180" s="3"/>
      <c r="G180" s="3"/>
      <c r="H180" s="3"/>
      <c r="I180" s="5" t="s">
        <v>17</v>
      </c>
      <c r="J180" s="4"/>
      <c r="K180" s="4"/>
    </row>
    <row r="181" spans="1:11">
      <c r="A181" s="3"/>
      <c r="B181" s="5" t="s">
        <v>12</v>
      </c>
      <c r="C181" s="48">
        <f>J176</f>
        <v>2540000</v>
      </c>
      <c r="D181" s="48"/>
      <c r="E181" s="23"/>
      <c r="F181" s="3"/>
      <c r="G181" s="3"/>
      <c r="H181" s="3"/>
      <c r="I181" s="5" t="s">
        <v>12</v>
      </c>
      <c r="J181" s="38">
        <f>C181</f>
        <v>2540000</v>
      </c>
      <c r="K181" s="3"/>
    </row>
    <row r="182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>
      <c r="A183" s="3"/>
      <c r="B183" s="3" t="s">
        <v>18</v>
      </c>
      <c r="C183" s="3"/>
      <c r="D183" s="3"/>
      <c r="E183" s="3"/>
      <c r="F183" s="3"/>
      <c r="G183" s="3"/>
      <c r="H183" s="3"/>
      <c r="I183" s="5" t="s">
        <v>19</v>
      </c>
      <c r="J183" s="3"/>
      <c r="K183" s="4"/>
    </row>
    <row r="184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>
      <c r="A187" s="3"/>
      <c r="B187" s="24" t="s">
        <v>32</v>
      </c>
      <c r="C187" s="24"/>
      <c r="D187" s="25"/>
      <c r="E187" s="25"/>
      <c r="F187" s="26"/>
      <c r="G187" s="26"/>
      <c r="H187" s="3"/>
      <c r="I187" s="26" t="s">
        <v>51</v>
      </c>
      <c r="J187" s="25"/>
      <c r="K187" s="25"/>
    </row>
    <row r="188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</row>
    <row r="190" spans="1:11">
      <c r="A190" s="49" t="s">
        <v>20</v>
      </c>
      <c r="B190" s="49"/>
      <c r="C190" s="49"/>
      <c r="D190" s="49"/>
      <c r="E190" s="49"/>
      <c r="F190" s="49"/>
      <c r="G190" s="49"/>
      <c r="H190" s="49"/>
      <c r="I190" s="49"/>
      <c r="J190" s="49"/>
      <c r="K190" s="49"/>
    </row>
    <row r="191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>
      <c r="A192" s="3"/>
      <c r="B192" s="3" t="s">
        <v>21</v>
      </c>
      <c r="C192" s="3"/>
      <c r="D192" s="3"/>
      <c r="E192" s="3"/>
      <c r="F192" s="3"/>
      <c r="G192" s="3"/>
      <c r="H192" s="3"/>
      <c r="I192" s="3" t="s">
        <v>22</v>
      </c>
      <c r="J192" s="38">
        <f>(J176)</f>
        <v>2540000</v>
      </c>
      <c r="K192" s="23"/>
    </row>
    <row r="193" spans="1:11">
      <c r="A193" s="3"/>
      <c r="B193" s="3" t="s">
        <v>23</v>
      </c>
      <c r="C193" s="3"/>
      <c r="D193" s="3"/>
      <c r="E193" s="3"/>
      <c r="F193" s="3"/>
      <c r="G193" s="3"/>
      <c r="H193" s="3"/>
      <c r="I193" s="3" t="s">
        <v>22</v>
      </c>
      <c r="J193" s="39">
        <f>(J181)</f>
        <v>2540000</v>
      </c>
      <c r="K193" s="3"/>
    </row>
    <row r="194" spans="1:11">
      <c r="A194" s="3"/>
      <c r="B194" s="3" t="s">
        <v>24</v>
      </c>
      <c r="C194" s="3"/>
      <c r="D194" s="3"/>
      <c r="E194" s="3"/>
      <c r="F194" s="3"/>
      <c r="G194" s="3"/>
      <c r="H194" s="3"/>
      <c r="I194" s="3" t="s">
        <v>22</v>
      </c>
      <c r="J194" s="23">
        <f>J192-J193</f>
        <v>0</v>
      </c>
      <c r="K194" s="3"/>
    </row>
    <row r="195" spans="1:1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>
      <c r="A196" s="3"/>
      <c r="B196" s="3"/>
      <c r="C196" s="3"/>
      <c r="D196" s="3"/>
      <c r="E196" s="3"/>
      <c r="F196" s="3"/>
      <c r="G196" s="3"/>
      <c r="H196" s="3"/>
      <c r="I196" s="3"/>
      <c r="J196" s="15" t="s">
        <v>25</v>
      </c>
      <c r="K196" s="4"/>
    </row>
    <row r="197" spans="1:11">
      <c r="A197" s="3"/>
      <c r="B197" s="3"/>
      <c r="C197" s="3"/>
      <c r="D197" s="3"/>
      <c r="E197" s="3"/>
      <c r="F197" s="3"/>
      <c r="G197" s="3"/>
      <c r="H197" s="3"/>
      <c r="I197" s="3"/>
      <c r="J197" s="5"/>
      <c r="K197" s="3"/>
    </row>
    <row r="198" spans="1:11">
      <c r="A198" s="3"/>
      <c r="B198" s="3"/>
      <c r="C198" s="3"/>
      <c r="D198" s="3"/>
      <c r="E198" s="3"/>
      <c r="F198" s="3"/>
      <c r="G198" s="3"/>
      <c r="H198" s="3"/>
      <c r="I198" s="3"/>
      <c r="J198" s="5"/>
      <c r="K198" s="3"/>
    </row>
    <row r="199" spans="1:11">
      <c r="A199" s="3"/>
      <c r="B199" s="3"/>
      <c r="C199" s="3"/>
      <c r="D199" s="3"/>
      <c r="E199" s="3"/>
      <c r="F199" s="3"/>
      <c r="G199" s="3"/>
      <c r="H199" s="3"/>
      <c r="I199" s="3"/>
      <c r="J199" s="5"/>
      <c r="K199" s="3"/>
    </row>
    <row r="200" spans="1:11">
      <c r="A200" s="3"/>
      <c r="B200" s="3"/>
      <c r="C200" s="3"/>
      <c r="D200" s="3"/>
      <c r="E200" s="3"/>
      <c r="F200" s="3"/>
      <c r="G200" s="3"/>
      <c r="H200" s="3"/>
      <c r="I200" s="3"/>
      <c r="J200" s="24" t="s">
        <v>26</v>
      </c>
      <c r="K200" s="3"/>
    </row>
    <row r="201" spans="1:1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4" spans="1:1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>
      <c r="A210" s="50" t="s">
        <v>0</v>
      </c>
      <c r="B210" s="50"/>
      <c r="C210" s="50"/>
      <c r="D210" s="50"/>
      <c r="E210" s="50"/>
      <c r="F210" s="50"/>
      <c r="G210" s="50"/>
      <c r="H210" s="50"/>
      <c r="I210" s="50"/>
      <c r="J210" s="50"/>
      <c r="K210" s="50"/>
    </row>
    <row r="211" spans="1:11">
      <c r="A211" s="52" t="s">
        <v>1</v>
      </c>
      <c r="B211" s="52"/>
      <c r="C211" s="52"/>
      <c r="D211" s="52"/>
      <c r="E211" s="52"/>
      <c r="F211" s="52"/>
      <c r="G211" s="52"/>
      <c r="H211" s="52"/>
      <c r="I211" s="52"/>
      <c r="J211" s="52"/>
      <c r="K211" s="52"/>
    </row>
    <row r="212" spans="1:1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>
      <c r="A213" s="51" t="s">
        <v>2</v>
      </c>
      <c r="B213" s="51"/>
      <c r="C213" s="51"/>
      <c r="D213" s="51"/>
      <c r="E213" s="51"/>
      <c r="F213" s="51"/>
      <c r="G213" s="51"/>
      <c r="H213" s="51"/>
      <c r="I213" s="51"/>
      <c r="J213" s="51"/>
      <c r="K213" s="51"/>
    </row>
    <row r="214" spans="1:1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>
      <c r="A215" s="3" t="s">
        <v>3</v>
      </c>
      <c r="B215" s="3"/>
      <c r="C215" s="3"/>
      <c r="D215" s="3"/>
      <c r="E215" s="4" t="s">
        <v>4</v>
      </c>
      <c r="F215" s="40" t="s">
        <v>61</v>
      </c>
      <c r="G215" s="3"/>
      <c r="H215" s="3"/>
      <c r="I215" s="3"/>
      <c r="J215" s="3"/>
      <c r="K215" s="3"/>
    </row>
    <row r="216" spans="1:11">
      <c r="A216" s="5" t="s">
        <v>5</v>
      </c>
      <c r="B216" s="5"/>
      <c r="C216" s="5"/>
      <c r="D216" s="5"/>
      <c r="E216" s="4" t="s">
        <v>4</v>
      </c>
      <c r="F216" s="45" t="s">
        <v>46</v>
      </c>
      <c r="G216" s="3"/>
      <c r="H216" s="3"/>
      <c r="I216" s="3"/>
      <c r="J216" s="3"/>
      <c r="K216" s="3"/>
    </row>
    <row r="217" spans="1:11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thickTop="1">
      <c r="A218" s="6" t="s">
        <v>6</v>
      </c>
      <c r="B218" s="53" t="s">
        <v>7</v>
      </c>
      <c r="C218" s="54"/>
      <c r="D218" s="54"/>
      <c r="E218" s="54"/>
      <c r="F218" s="54"/>
      <c r="G218" s="54"/>
      <c r="H218" s="55"/>
      <c r="I218" s="56" t="s">
        <v>8</v>
      </c>
      <c r="J218" s="57"/>
      <c r="K218" s="7" t="s">
        <v>9</v>
      </c>
    </row>
    <row r="219" spans="1:11">
      <c r="A219" s="8"/>
      <c r="B219" s="9"/>
      <c r="C219" s="10"/>
      <c r="D219" s="10"/>
      <c r="E219" s="10"/>
      <c r="F219" s="10"/>
      <c r="G219" s="10"/>
      <c r="H219" s="11"/>
      <c r="I219" s="29"/>
      <c r="J219" s="30"/>
      <c r="K219" s="58"/>
    </row>
    <row r="220" spans="1:11">
      <c r="A220" s="8" t="s">
        <v>10</v>
      </c>
      <c r="B220" s="61" t="s">
        <v>27</v>
      </c>
      <c r="C220" s="62"/>
      <c r="D220" s="62"/>
      <c r="E220" s="62"/>
      <c r="F220" s="62"/>
      <c r="G220" s="62"/>
      <c r="H220" s="63"/>
      <c r="I220" s="31"/>
      <c r="J220" s="32"/>
      <c r="K220" s="59"/>
    </row>
    <row r="221" spans="1:11">
      <c r="A221" s="8"/>
      <c r="B221" s="12" t="s">
        <v>11</v>
      </c>
      <c r="C221" s="3" t="s">
        <v>47</v>
      </c>
      <c r="D221" s="3"/>
      <c r="E221" s="3"/>
      <c r="F221" s="4"/>
      <c r="G221" s="4" t="s">
        <v>12</v>
      </c>
      <c r="H221" s="13">
        <v>350000</v>
      </c>
      <c r="I221" s="31" t="s">
        <v>12</v>
      </c>
      <c r="J221" s="32">
        <f>(H221)</f>
        <v>350000</v>
      </c>
      <c r="K221" s="59"/>
    </row>
    <row r="222" spans="1:11">
      <c r="A222" s="8"/>
      <c r="B222" s="12" t="s">
        <v>11</v>
      </c>
      <c r="C222" s="3" t="s">
        <v>48</v>
      </c>
      <c r="D222" s="3"/>
      <c r="E222" s="3"/>
      <c r="F222" s="4"/>
      <c r="G222" s="4" t="s">
        <v>12</v>
      </c>
      <c r="H222" s="13">
        <v>0</v>
      </c>
      <c r="I222" s="31" t="s">
        <v>12</v>
      </c>
      <c r="J222" s="32">
        <f>(H222)</f>
        <v>0</v>
      </c>
      <c r="K222" s="59"/>
    </row>
    <row r="223" spans="1:11">
      <c r="A223" s="8" t="s">
        <v>28</v>
      </c>
      <c r="B223" s="61" t="s">
        <v>49</v>
      </c>
      <c r="C223" s="62"/>
      <c r="D223" s="62"/>
      <c r="E223" s="62"/>
      <c r="F223" s="62"/>
      <c r="G223" s="62"/>
      <c r="H223" s="63"/>
      <c r="I223" s="33"/>
      <c r="J223" s="34"/>
      <c r="K223" s="59"/>
    </row>
    <row r="224" spans="1:11">
      <c r="A224" s="8"/>
      <c r="B224" s="12">
        <v>2</v>
      </c>
      <c r="C224" s="5" t="s">
        <v>29</v>
      </c>
      <c r="D224" s="5"/>
      <c r="E224" s="5"/>
      <c r="F224" s="4" t="s">
        <v>13</v>
      </c>
      <c r="G224" s="4" t="s">
        <v>12</v>
      </c>
      <c r="H224" s="13">
        <v>370000</v>
      </c>
      <c r="I224" s="12" t="s">
        <v>12</v>
      </c>
      <c r="J224" s="32">
        <f>B224*H224</f>
        <v>740000</v>
      </c>
      <c r="K224" s="59"/>
    </row>
    <row r="225" spans="1:11">
      <c r="A225" s="41" t="s">
        <v>30</v>
      </c>
      <c r="B225" s="61" t="s">
        <v>35</v>
      </c>
      <c r="C225" s="62"/>
      <c r="D225" s="62"/>
      <c r="E225" s="62"/>
      <c r="F225" s="62"/>
      <c r="G225" s="62"/>
      <c r="H225" s="63"/>
      <c r="I225" s="33"/>
      <c r="J225" s="32"/>
      <c r="K225" s="59"/>
    </row>
    <row r="226" spans="1:11">
      <c r="A226" s="8"/>
      <c r="B226" s="12">
        <v>2</v>
      </c>
      <c r="C226" s="3" t="s">
        <v>31</v>
      </c>
      <c r="D226" s="42"/>
      <c r="E226" s="43"/>
      <c r="F226" s="4" t="s">
        <v>13</v>
      </c>
      <c r="G226" s="4" t="s">
        <v>12</v>
      </c>
      <c r="H226" s="13">
        <v>650000</v>
      </c>
      <c r="I226" s="12" t="s">
        <v>12</v>
      </c>
      <c r="J226" s="32">
        <f>B226*H226</f>
        <v>1300000</v>
      </c>
      <c r="K226" s="59"/>
    </row>
    <row r="227" spans="1:11">
      <c r="A227" s="8"/>
      <c r="B227" s="12"/>
      <c r="C227" s="3"/>
      <c r="D227" s="3"/>
      <c r="E227" s="3"/>
      <c r="F227" s="4"/>
      <c r="G227" s="4"/>
      <c r="H227" s="44"/>
      <c r="I227" s="31"/>
      <c r="J227" s="32"/>
      <c r="K227" s="59"/>
    </row>
    <row r="228" spans="1:11">
      <c r="A228" s="8"/>
      <c r="B228" s="14" t="s">
        <v>14</v>
      </c>
      <c r="C228" s="15"/>
      <c r="D228" s="15"/>
      <c r="E228" s="15"/>
      <c r="F228" s="15"/>
      <c r="G228" s="15"/>
      <c r="H228" s="16"/>
      <c r="I228" s="35" t="s">
        <v>12</v>
      </c>
      <c r="J228" s="36">
        <f>SUM(J221:J226)</f>
        <v>2390000</v>
      </c>
      <c r="K228" s="60"/>
    </row>
    <row r="229" spans="1:11" ht="15.75" thickBot="1">
      <c r="A229" s="17"/>
      <c r="B229" s="18" t="s">
        <v>15</v>
      </c>
      <c r="C229" s="19"/>
      <c r="D229" s="18" t="s">
        <v>53</v>
      </c>
      <c r="E229" s="18"/>
      <c r="F229" s="19"/>
      <c r="G229" s="19"/>
      <c r="H229" s="19"/>
      <c r="I229" s="19"/>
      <c r="J229" s="19"/>
      <c r="K229" s="37"/>
    </row>
    <row r="230" spans="1:11" ht="15.75" thickTop="1">
      <c r="A230" s="20"/>
      <c r="B230" s="21"/>
      <c r="C230" s="22"/>
      <c r="D230" s="21"/>
      <c r="E230" s="21"/>
      <c r="F230" s="22"/>
      <c r="G230" s="22"/>
      <c r="H230" s="22"/>
      <c r="I230" s="22"/>
      <c r="J230" s="22"/>
      <c r="K230" s="22"/>
    </row>
    <row r="231" spans="1:11">
      <c r="A231" s="3"/>
      <c r="B231" s="3"/>
      <c r="C231" s="3"/>
      <c r="D231" s="3"/>
      <c r="E231" s="3"/>
      <c r="F231" s="3"/>
      <c r="G231" s="3"/>
      <c r="H231" s="3"/>
      <c r="I231" s="5" t="s">
        <v>50</v>
      </c>
      <c r="J231" s="3"/>
      <c r="K231" s="5"/>
    </row>
    <row r="232" spans="1:11">
      <c r="A232" s="3"/>
      <c r="B232" s="3" t="s">
        <v>16</v>
      </c>
      <c r="C232" s="3"/>
      <c r="D232" s="3"/>
      <c r="E232" s="3"/>
      <c r="F232" s="3"/>
      <c r="G232" s="3"/>
      <c r="H232" s="3"/>
      <c r="I232" s="5" t="s">
        <v>17</v>
      </c>
      <c r="J232" s="4"/>
      <c r="K232" s="4"/>
    </row>
    <row r="233" spans="1:11">
      <c r="A233" s="3"/>
      <c r="B233" s="5" t="s">
        <v>12</v>
      </c>
      <c r="C233" s="48">
        <f>J228</f>
        <v>2390000</v>
      </c>
      <c r="D233" s="48"/>
      <c r="E233" s="23"/>
      <c r="F233" s="3"/>
      <c r="G233" s="3"/>
      <c r="H233" s="3"/>
      <c r="I233" s="5" t="s">
        <v>12</v>
      </c>
      <c r="J233" s="38">
        <f>C233</f>
        <v>2390000</v>
      </c>
      <c r="K233" s="3"/>
    </row>
    <row r="234" spans="1:1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>
      <c r="A235" s="3"/>
      <c r="B235" s="3" t="s">
        <v>18</v>
      </c>
      <c r="C235" s="3"/>
      <c r="D235" s="3"/>
      <c r="E235" s="3"/>
      <c r="F235" s="3"/>
      <c r="G235" s="3"/>
      <c r="H235" s="3"/>
      <c r="I235" s="5" t="s">
        <v>19</v>
      </c>
      <c r="J235" s="3"/>
      <c r="K235" s="4"/>
    </row>
    <row r="236" spans="1:1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>
      <c r="A239" s="3"/>
      <c r="B239" s="24" t="s">
        <v>32</v>
      </c>
      <c r="C239" s="24"/>
      <c r="D239" s="25"/>
      <c r="E239" s="25"/>
      <c r="F239" s="26"/>
      <c r="G239" s="26"/>
      <c r="H239" s="3"/>
      <c r="I239" s="26" t="s">
        <v>26</v>
      </c>
      <c r="J239" s="25"/>
      <c r="K239" s="25"/>
    </row>
    <row r="240" spans="1:1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</row>
    <row r="242" spans="1:11">
      <c r="A242" s="49" t="s">
        <v>20</v>
      </c>
      <c r="B242" s="49"/>
      <c r="C242" s="49"/>
      <c r="D242" s="49"/>
      <c r="E242" s="49"/>
      <c r="F242" s="49"/>
      <c r="G242" s="49"/>
      <c r="H242" s="49"/>
      <c r="I242" s="49"/>
      <c r="J242" s="49"/>
      <c r="K242" s="49"/>
    </row>
    <row r="243" spans="1:1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>
      <c r="A244" s="3"/>
      <c r="B244" s="3" t="s">
        <v>21</v>
      </c>
      <c r="C244" s="3"/>
      <c r="D244" s="3"/>
      <c r="E244" s="3"/>
      <c r="F244" s="3"/>
      <c r="G244" s="3"/>
      <c r="H244" s="3"/>
      <c r="I244" s="3" t="s">
        <v>22</v>
      </c>
      <c r="J244" s="38">
        <f>(J228)</f>
        <v>2390000</v>
      </c>
      <c r="K244" s="23"/>
    </row>
    <row r="245" spans="1:11">
      <c r="A245" s="3"/>
      <c r="B245" s="3" t="s">
        <v>23</v>
      </c>
      <c r="C245" s="3"/>
      <c r="D245" s="3"/>
      <c r="E245" s="3"/>
      <c r="F245" s="3"/>
      <c r="G245" s="3"/>
      <c r="H245" s="3"/>
      <c r="I245" s="3" t="s">
        <v>22</v>
      </c>
      <c r="J245" s="39">
        <f>(J233)</f>
        <v>2390000</v>
      </c>
      <c r="K245" s="3"/>
    </row>
    <row r="246" spans="1:11">
      <c r="A246" s="3"/>
      <c r="B246" s="3" t="s">
        <v>24</v>
      </c>
      <c r="C246" s="3"/>
      <c r="D246" s="3"/>
      <c r="E246" s="3"/>
      <c r="F246" s="3"/>
      <c r="G246" s="3"/>
      <c r="H246" s="3"/>
      <c r="I246" s="3" t="s">
        <v>22</v>
      </c>
      <c r="J246" s="23">
        <f>J244-J245</f>
        <v>0</v>
      </c>
      <c r="K246" s="3"/>
    </row>
    <row r="247" spans="1:1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>
      <c r="A248" s="3"/>
      <c r="B248" s="3"/>
      <c r="C248" s="3"/>
      <c r="D248" s="3"/>
      <c r="E248" s="3"/>
      <c r="F248" s="3"/>
      <c r="G248" s="3"/>
      <c r="H248" s="3"/>
      <c r="I248" s="3"/>
      <c r="J248" s="15" t="s">
        <v>25</v>
      </c>
      <c r="K248" s="4"/>
    </row>
    <row r="249" spans="1:11">
      <c r="A249" s="3"/>
      <c r="B249" s="3"/>
      <c r="C249" s="3"/>
      <c r="D249" s="3"/>
      <c r="E249" s="3"/>
      <c r="F249" s="3"/>
      <c r="G249" s="3"/>
      <c r="H249" s="3"/>
      <c r="I249" s="3"/>
      <c r="J249" s="5"/>
      <c r="K249" s="3"/>
    </row>
    <row r="250" spans="1:11">
      <c r="A250" s="3"/>
      <c r="B250" s="3"/>
      <c r="C250" s="3"/>
      <c r="D250" s="3"/>
      <c r="E250" s="3"/>
      <c r="F250" s="3"/>
      <c r="G250" s="3"/>
      <c r="H250" s="3"/>
      <c r="I250" s="3"/>
      <c r="J250" s="5"/>
      <c r="K250" s="3"/>
    </row>
    <row r="251" spans="1:11">
      <c r="A251" s="3"/>
      <c r="B251" s="3"/>
      <c r="C251" s="3"/>
      <c r="D251" s="3"/>
      <c r="E251" s="3"/>
      <c r="F251" s="3"/>
      <c r="G251" s="3"/>
      <c r="H251" s="3"/>
      <c r="I251" s="3"/>
      <c r="J251" s="5"/>
      <c r="K251" s="3"/>
    </row>
    <row r="252" spans="1:11">
      <c r="A252" s="3"/>
      <c r="B252" s="3"/>
      <c r="C252" s="3"/>
      <c r="D252" s="3"/>
      <c r="E252" s="3"/>
      <c r="F252" s="3"/>
      <c r="G252" s="3"/>
      <c r="H252" s="3"/>
      <c r="I252" s="3"/>
      <c r="J252" s="24" t="s">
        <v>26</v>
      </c>
      <c r="K252" s="3"/>
    </row>
    <row r="253" spans="1:1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</row>
    <row r="256" spans="1:1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>
      <c r="A262" s="50" t="s">
        <v>0</v>
      </c>
      <c r="B262" s="50"/>
      <c r="C262" s="50"/>
      <c r="D262" s="50"/>
      <c r="E262" s="50"/>
      <c r="F262" s="50"/>
      <c r="G262" s="50"/>
      <c r="H262" s="50"/>
      <c r="I262" s="50"/>
      <c r="J262" s="50"/>
      <c r="K262" s="50"/>
    </row>
    <row r="263" spans="1:11">
      <c r="A263" s="52" t="s">
        <v>1</v>
      </c>
      <c r="B263" s="52"/>
      <c r="C263" s="52"/>
      <c r="D263" s="52"/>
      <c r="E263" s="52"/>
      <c r="F263" s="52"/>
      <c r="G263" s="52"/>
      <c r="H263" s="52"/>
      <c r="I263" s="52"/>
      <c r="J263" s="52"/>
      <c r="K263" s="52"/>
    </row>
    <row r="264" spans="1:1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>
      <c r="A265" s="51" t="s">
        <v>2</v>
      </c>
      <c r="B265" s="51"/>
      <c r="C265" s="51"/>
      <c r="D265" s="51"/>
      <c r="E265" s="51"/>
      <c r="F265" s="51"/>
      <c r="G265" s="51"/>
      <c r="H265" s="51"/>
      <c r="I265" s="51"/>
      <c r="J265" s="51"/>
      <c r="K265" s="51"/>
    </row>
    <row r="266" spans="1:1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>
      <c r="A267" s="3" t="s">
        <v>3</v>
      </c>
      <c r="B267" s="3"/>
      <c r="C267" s="3"/>
      <c r="D267" s="3"/>
      <c r="E267" s="4" t="s">
        <v>4</v>
      </c>
      <c r="F267" s="40" t="s">
        <v>55</v>
      </c>
      <c r="G267" s="3"/>
      <c r="H267" s="3"/>
      <c r="I267" s="3"/>
      <c r="J267" s="3"/>
      <c r="K267" s="3"/>
    </row>
    <row r="268" spans="1:11">
      <c r="A268" s="5" t="s">
        <v>5</v>
      </c>
      <c r="B268" s="5"/>
      <c r="C268" s="5"/>
      <c r="D268" s="5"/>
      <c r="E268" s="4" t="s">
        <v>4</v>
      </c>
      <c r="F268" s="45" t="s">
        <v>46</v>
      </c>
      <c r="G268" s="3"/>
      <c r="H268" s="3"/>
      <c r="I268" s="3"/>
      <c r="J268" s="3"/>
      <c r="K268" s="3"/>
    </row>
    <row r="269" spans="1:11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thickTop="1">
      <c r="A270" s="6" t="s">
        <v>6</v>
      </c>
      <c r="B270" s="53" t="s">
        <v>7</v>
      </c>
      <c r="C270" s="54"/>
      <c r="D270" s="54"/>
      <c r="E270" s="54"/>
      <c r="F270" s="54"/>
      <c r="G270" s="54"/>
      <c r="H270" s="55"/>
      <c r="I270" s="56" t="s">
        <v>8</v>
      </c>
      <c r="J270" s="57"/>
      <c r="K270" s="7" t="s">
        <v>9</v>
      </c>
    </row>
    <row r="271" spans="1:11">
      <c r="A271" s="8"/>
      <c r="B271" s="9"/>
      <c r="C271" s="10"/>
      <c r="D271" s="10"/>
      <c r="E271" s="10"/>
      <c r="F271" s="10"/>
      <c r="G271" s="10"/>
      <c r="H271" s="11"/>
      <c r="I271" s="29"/>
      <c r="J271" s="30"/>
      <c r="K271" s="58"/>
    </row>
    <row r="272" spans="1:11">
      <c r="A272" s="8" t="s">
        <v>10</v>
      </c>
      <c r="B272" s="61" t="s">
        <v>27</v>
      </c>
      <c r="C272" s="62"/>
      <c r="D272" s="62"/>
      <c r="E272" s="62"/>
      <c r="F272" s="62"/>
      <c r="G272" s="62"/>
      <c r="H272" s="63"/>
      <c r="I272" s="31"/>
      <c r="J272" s="32"/>
      <c r="K272" s="59"/>
    </row>
    <row r="273" spans="1:11">
      <c r="A273" s="8"/>
      <c r="B273" s="12" t="s">
        <v>11</v>
      </c>
      <c r="C273" s="3" t="s">
        <v>47</v>
      </c>
      <c r="D273" s="3"/>
      <c r="E273" s="3"/>
      <c r="F273" s="4"/>
      <c r="G273" s="4" t="s">
        <v>12</v>
      </c>
      <c r="H273" s="13">
        <v>0</v>
      </c>
      <c r="I273" s="31" t="s">
        <v>12</v>
      </c>
      <c r="J273" s="32">
        <f>(H273)</f>
        <v>0</v>
      </c>
      <c r="K273" s="59"/>
    </row>
    <row r="274" spans="1:11">
      <c r="A274" s="8"/>
      <c r="B274" s="12" t="s">
        <v>11</v>
      </c>
      <c r="C274" s="3" t="s">
        <v>48</v>
      </c>
      <c r="D274" s="3"/>
      <c r="E274" s="3"/>
      <c r="F274" s="4"/>
      <c r="G274" s="4" t="s">
        <v>12</v>
      </c>
      <c r="H274" s="13">
        <v>500000</v>
      </c>
      <c r="I274" s="31" t="s">
        <v>12</v>
      </c>
      <c r="J274" s="32">
        <f>(H274)</f>
        <v>500000</v>
      </c>
      <c r="K274" s="59"/>
    </row>
    <row r="275" spans="1:11">
      <c r="A275" s="8" t="s">
        <v>28</v>
      </c>
      <c r="B275" s="61" t="s">
        <v>49</v>
      </c>
      <c r="C275" s="62"/>
      <c r="D275" s="62"/>
      <c r="E275" s="62"/>
      <c r="F275" s="62"/>
      <c r="G275" s="62"/>
      <c r="H275" s="63"/>
      <c r="I275" s="33"/>
      <c r="J275" s="34"/>
      <c r="K275" s="59"/>
    </row>
    <row r="276" spans="1:11">
      <c r="A276" s="8"/>
      <c r="B276" s="12">
        <v>2</v>
      </c>
      <c r="C276" s="5" t="s">
        <v>29</v>
      </c>
      <c r="D276" s="5"/>
      <c r="E276" s="5"/>
      <c r="F276" s="4" t="s">
        <v>13</v>
      </c>
      <c r="G276" s="4" t="s">
        <v>12</v>
      </c>
      <c r="H276" s="13">
        <v>370000</v>
      </c>
      <c r="I276" s="12" t="s">
        <v>12</v>
      </c>
      <c r="J276" s="32">
        <f>B276*H276</f>
        <v>740000</v>
      </c>
      <c r="K276" s="59"/>
    </row>
    <row r="277" spans="1:11">
      <c r="A277" s="41" t="s">
        <v>30</v>
      </c>
      <c r="B277" s="61" t="s">
        <v>35</v>
      </c>
      <c r="C277" s="62"/>
      <c r="D277" s="62"/>
      <c r="E277" s="62"/>
      <c r="F277" s="62"/>
      <c r="G277" s="62"/>
      <c r="H277" s="63"/>
      <c r="I277" s="33"/>
      <c r="J277" s="32"/>
      <c r="K277" s="59"/>
    </row>
    <row r="278" spans="1:11">
      <c r="A278" s="8"/>
      <c r="B278" s="12">
        <v>1</v>
      </c>
      <c r="C278" s="3" t="s">
        <v>31</v>
      </c>
      <c r="D278" s="42"/>
      <c r="E278" s="43"/>
      <c r="F278" s="4" t="s">
        <v>13</v>
      </c>
      <c r="G278" s="4" t="s">
        <v>12</v>
      </c>
      <c r="H278" s="13">
        <v>650000</v>
      </c>
      <c r="I278" s="12" t="s">
        <v>12</v>
      </c>
      <c r="J278" s="32">
        <f>B278*H278</f>
        <v>650000</v>
      </c>
      <c r="K278" s="59"/>
    </row>
    <row r="279" spans="1:11">
      <c r="A279" s="8"/>
      <c r="B279" s="12"/>
      <c r="C279" s="3"/>
      <c r="D279" s="3"/>
      <c r="E279" s="3"/>
      <c r="F279" s="4"/>
      <c r="G279" s="4"/>
      <c r="H279" s="44"/>
      <c r="I279" s="31"/>
      <c r="J279" s="32"/>
      <c r="K279" s="59"/>
    </row>
    <row r="280" spans="1:11">
      <c r="A280" s="8"/>
      <c r="B280" s="14" t="s">
        <v>14</v>
      </c>
      <c r="C280" s="15"/>
      <c r="D280" s="15"/>
      <c r="E280" s="15"/>
      <c r="F280" s="15"/>
      <c r="G280" s="15"/>
      <c r="H280" s="16"/>
      <c r="I280" s="35" t="s">
        <v>12</v>
      </c>
      <c r="J280" s="36">
        <f>SUM(J273:J278)</f>
        <v>1890000</v>
      </c>
      <c r="K280" s="60"/>
    </row>
    <row r="281" spans="1:11" ht="15.75" thickBot="1">
      <c r="A281" s="17"/>
      <c r="B281" s="18" t="s">
        <v>15</v>
      </c>
      <c r="C281" s="19"/>
      <c r="D281" s="18" t="s">
        <v>54</v>
      </c>
      <c r="E281" s="18"/>
      <c r="F281" s="19"/>
      <c r="G281" s="19"/>
      <c r="H281" s="19"/>
      <c r="I281" s="19"/>
      <c r="J281" s="19"/>
      <c r="K281" s="37"/>
    </row>
    <row r="282" spans="1:11" ht="15.75" thickTop="1">
      <c r="A282" s="20"/>
      <c r="B282" s="21"/>
      <c r="C282" s="22"/>
      <c r="D282" s="21"/>
      <c r="E282" s="21"/>
      <c r="F282" s="22"/>
      <c r="G282" s="22"/>
      <c r="H282" s="22"/>
      <c r="I282" s="22"/>
      <c r="J282" s="22"/>
      <c r="K282" s="22"/>
    </row>
    <row r="283" spans="1:11">
      <c r="A283" s="3"/>
      <c r="B283" s="3"/>
      <c r="C283" s="3"/>
      <c r="D283" s="3"/>
      <c r="E283" s="3"/>
      <c r="F283" s="3"/>
      <c r="G283" s="3"/>
      <c r="H283" s="3"/>
      <c r="I283" s="5" t="s">
        <v>50</v>
      </c>
      <c r="J283" s="3"/>
      <c r="K283" s="5"/>
    </row>
    <row r="284" spans="1:11">
      <c r="A284" s="3"/>
      <c r="B284" s="3" t="s">
        <v>16</v>
      </c>
      <c r="C284" s="3"/>
      <c r="D284" s="3"/>
      <c r="E284" s="3"/>
      <c r="F284" s="3"/>
      <c r="G284" s="3"/>
      <c r="H284" s="3"/>
      <c r="I284" s="5" t="s">
        <v>17</v>
      </c>
      <c r="J284" s="4"/>
      <c r="K284" s="4"/>
    </row>
    <row r="285" spans="1:11">
      <c r="A285" s="3"/>
      <c r="B285" s="5" t="s">
        <v>12</v>
      </c>
      <c r="C285" s="48">
        <f>J280</f>
        <v>1890000</v>
      </c>
      <c r="D285" s="48"/>
      <c r="E285" s="23"/>
      <c r="F285" s="3"/>
      <c r="G285" s="3"/>
      <c r="H285" s="3"/>
      <c r="I285" s="5" t="s">
        <v>12</v>
      </c>
      <c r="J285" s="38">
        <f>C285</f>
        <v>1890000</v>
      </c>
      <c r="K285" s="3"/>
    </row>
    <row r="286" spans="1:1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>
      <c r="A287" s="3"/>
      <c r="B287" s="3" t="s">
        <v>18</v>
      </c>
      <c r="C287" s="3"/>
      <c r="D287" s="3"/>
      <c r="E287" s="3"/>
      <c r="F287" s="3"/>
      <c r="G287" s="3"/>
      <c r="H287" s="3"/>
      <c r="I287" s="5" t="s">
        <v>19</v>
      </c>
      <c r="J287" s="3"/>
      <c r="K287" s="4"/>
    </row>
    <row r="288" spans="1:1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>
      <c r="A291" s="3"/>
      <c r="B291" s="24" t="s">
        <v>32</v>
      </c>
      <c r="C291" s="24"/>
      <c r="D291" s="25"/>
      <c r="E291" s="25"/>
      <c r="F291" s="26"/>
      <c r="G291" s="26"/>
      <c r="H291" s="3"/>
      <c r="I291" s="26" t="s">
        <v>51</v>
      </c>
      <c r="J291" s="25"/>
      <c r="K291" s="25"/>
    </row>
    <row r="292" spans="1:1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</row>
    <row r="294" spans="1:11">
      <c r="A294" s="49" t="s">
        <v>20</v>
      </c>
      <c r="B294" s="49"/>
      <c r="C294" s="49"/>
      <c r="D294" s="49"/>
      <c r="E294" s="49"/>
      <c r="F294" s="49"/>
      <c r="G294" s="49"/>
      <c r="H294" s="49"/>
      <c r="I294" s="49"/>
      <c r="J294" s="49"/>
      <c r="K294" s="49"/>
    </row>
    <row r="295" spans="1:1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>
      <c r="A296" s="3"/>
      <c r="B296" s="3" t="s">
        <v>21</v>
      </c>
      <c r="C296" s="3"/>
      <c r="D296" s="3"/>
      <c r="E296" s="3"/>
      <c r="F296" s="3"/>
      <c r="G296" s="3"/>
      <c r="H296" s="3"/>
      <c r="I296" s="3" t="s">
        <v>22</v>
      </c>
      <c r="J296" s="38">
        <f>(J280)</f>
        <v>1890000</v>
      </c>
      <c r="K296" s="23"/>
    </row>
    <row r="297" spans="1:11">
      <c r="A297" s="3"/>
      <c r="B297" s="3" t="s">
        <v>23</v>
      </c>
      <c r="C297" s="3"/>
      <c r="D297" s="3"/>
      <c r="E297" s="3"/>
      <c r="F297" s="3"/>
      <c r="G297" s="3"/>
      <c r="H297" s="3"/>
      <c r="I297" s="3" t="s">
        <v>22</v>
      </c>
      <c r="J297" s="39">
        <f>(J285)</f>
        <v>1890000</v>
      </c>
      <c r="K297" s="3"/>
    </row>
    <row r="298" spans="1:11">
      <c r="A298" s="3"/>
      <c r="B298" s="3" t="s">
        <v>24</v>
      </c>
      <c r="C298" s="3"/>
      <c r="D298" s="3"/>
      <c r="E298" s="3"/>
      <c r="F298" s="3"/>
      <c r="G298" s="3"/>
      <c r="H298" s="3"/>
      <c r="I298" s="3" t="s">
        <v>22</v>
      </c>
      <c r="J298" s="23">
        <f>J296-J297</f>
        <v>0</v>
      </c>
      <c r="K298" s="3"/>
    </row>
    <row r="299" spans="1:1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>
      <c r="A300" s="3"/>
      <c r="B300" s="3"/>
      <c r="C300" s="3"/>
      <c r="D300" s="3"/>
      <c r="E300" s="3"/>
      <c r="F300" s="3"/>
      <c r="G300" s="3"/>
      <c r="H300" s="3"/>
      <c r="I300" s="3"/>
      <c r="J300" s="15" t="s">
        <v>25</v>
      </c>
      <c r="K300" s="4"/>
    </row>
    <row r="301" spans="1:11">
      <c r="A301" s="3"/>
      <c r="B301" s="3"/>
      <c r="C301" s="3"/>
      <c r="D301" s="3"/>
      <c r="E301" s="3"/>
      <c r="F301" s="3"/>
      <c r="G301" s="3"/>
      <c r="H301" s="3"/>
      <c r="I301" s="3"/>
      <c r="J301" s="5"/>
      <c r="K301" s="3"/>
    </row>
    <row r="302" spans="1:11">
      <c r="A302" s="3"/>
      <c r="B302" s="3"/>
      <c r="C302" s="3"/>
      <c r="D302" s="3"/>
      <c r="E302" s="3"/>
      <c r="F302" s="3"/>
      <c r="G302" s="3"/>
      <c r="H302" s="3"/>
      <c r="I302" s="3"/>
      <c r="J302" s="5"/>
      <c r="K302" s="3"/>
    </row>
    <row r="303" spans="1:11">
      <c r="A303" s="3"/>
      <c r="B303" s="3"/>
      <c r="C303" s="3"/>
      <c r="D303" s="3"/>
      <c r="E303" s="3"/>
      <c r="F303" s="3"/>
      <c r="G303" s="3"/>
      <c r="H303" s="3"/>
      <c r="I303" s="3"/>
      <c r="J303" s="5"/>
      <c r="K303" s="3"/>
    </row>
    <row r="304" spans="1:11">
      <c r="A304" s="3"/>
      <c r="B304" s="3"/>
      <c r="C304" s="3"/>
      <c r="D304" s="3"/>
      <c r="E304" s="3"/>
      <c r="F304" s="3"/>
      <c r="G304" s="3"/>
      <c r="H304" s="3"/>
      <c r="I304" s="3"/>
      <c r="J304" s="24" t="s">
        <v>26</v>
      </c>
      <c r="K304" s="3"/>
    </row>
    <row r="305" spans="1:1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</row>
    <row r="307" spans="1:1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>
      <c r="A313" s="50" t="s">
        <v>0</v>
      </c>
      <c r="B313" s="50"/>
      <c r="C313" s="50"/>
      <c r="D313" s="50"/>
      <c r="E313" s="50"/>
      <c r="F313" s="50"/>
      <c r="G313" s="50"/>
      <c r="H313" s="50"/>
      <c r="I313" s="50"/>
      <c r="J313" s="50"/>
      <c r="K313" s="50"/>
    </row>
    <row r="314" spans="1:11">
      <c r="A314" s="52" t="s">
        <v>1</v>
      </c>
      <c r="B314" s="52"/>
      <c r="C314" s="52"/>
      <c r="D314" s="52"/>
      <c r="E314" s="52"/>
      <c r="F314" s="52"/>
      <c r="G314" s="52"/>
      <c r="H314" s="52"/>
      <c r="I314" s="52"/>
      <c r="J314" s="52"/>
      <c r="K314" s="52"/>
    </row>
    <row r="315" spans="1:1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>
      <c r="A316" s="51" t="s">
        <v>2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</row>
    <row r="317" spans="1:1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>
      <c r="A318" s="3" t="s">
        <v>3</v>
      </c>
      <c r="B318" s="3"/>
      <c r="C318" s="3"/>
      <c r="D318" s="3"/>
      <c r="E318" s="4" t="s">
        <v>4</v>
      </c>
      <c r="F318" s="40" t="s">
        <v>62</v>
      </c>
      <c r="G318" s="3"/>
      <c r="H318" s="3"/>
      <c r="I318" s="3"/>
      <c r="J318" s="3"/>
      <c r="K318" s="3"/>
    </row>
    <row r="319" spans="1:11">
      <c r="A319" s="5" t="s">
        <v>5</v>
      </c>
      <c r="B319" s="5"/>
      <c r="C319" s="5"/>
      <c r="D319" s="5"/>
      <c r="E319" s="4" t="s">
        <v>4</v>
      </c>
      <c r="F319" s="45" t="s">
        <v>46</v>
      </c>
      <c r="G319" s="3"/>
      <c r="H319" s="3"/>
      <c r="I319" s="3"/>
      <c r="J319" s="3"/>
      <c r="K319" s="3"/>
    </row>
    <row r="320" spans="1:11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thickTop="1">
      <c r="A321" s="6" t="s">
        <v>6</v>
      </c>
      <c r="B321" s="53" t="s">
        <v>7</v>
      </c>
      <c r="C321" s="54"/>
      <c r="D321" s="54"/>
      <c r="E321" s="54"/>
      <c r="F321" s="54"/>
      <c r="G321" s="54"/>
      <c r="H321" s="55"/>
      <c r="I321" s="56" t="s">
        <v>8</v>
      </c>
      <c r="J321" s="57"/>
      <c r="K321" s="7" t="s">
        <v>9</v>
      </c>
    </row>
    <row r="322" spans="1:11">
      <c r="A322" s="8"/>
      <c r="B322" s="9"/>
      <c r="C322" s="10"/>
      <c r="D322" s="10"/>
      <c r="E322" s="10"/>
      <c r="F322" s="10"/>
      <c r="G322" s="10"/>
      <c r="H322" s="11"/>
      <c r="I322" s="29"/>
      <c r="J322" s="30"/>
      <c r="K322" s="58"/>
    </row>
    <row r="323" spans="1:11">
      <c r="A323" s="8" t="s">
        <v>10</v>
      </c>
      <c r="B323" s="61" t="s">
        <v>27</v>
      </c>
      <c r="C323" s="62"/>
      <c r="D323" s="62"/>
      <c r="E323" s="62"/>
      <c r="F323" s="62"/>
      <c r="G323" s="62"/>
      <c r="H323" s="63"/>
      <c r="I323" s="31"/>
      <c r="J323" s="32"/>
      <c r="K323" s="59"/>
    </row>
    <row r="324" spans="1:11">
      <c r="A324" s="8"/>
      <c r="B324" s="12" t="s">
        <v>11</v>
      </c>
      <c r="C324" s="3" t="s">
        <v>47</v>
      </c>
      <c r="D324" s="3"/>
      <c r="E324" s="3"/>
      <c r="F324" s="4"/>
      <c r="G324" s="4" t="s">
        <v>12</v>
      </c>
      <c r="H324" s="13">
        <v>0</v>
      </c>
      <c r="I324" s="31" t="s">
        <v>12</v>
      </c>
      <c r="J324" s="32">
        <f>(H324)</f>
        <v>0</v>
      </c>
      <c r="K324" s="59"/>
    </row>
    <row r="325" spans="1:11">
      <c r="A325" s="8"/>
      <c r="B325" s="12" t="s">
        <v>11</v>
      </c>
      <c r="C325" s="3" t="s">
        <v>48</v>
      </c>
      <c r="D325" s="3"/>
      <c r="E325" s="3"/>
      <c r="F325" s="4"/>
      <c r="G325" s="4" t="s">
        <v>12</v>
      </c>
      <c r="H325" s="13">
        <v>350000</v>
      </c>
      <c r="I325" s="31" t="s">
        <v>12</v>
      </c>
      <c r="J325" s="32">
        <f>(H325)</f>
        <v>350000</v>
      </c>
      <c r="K325" s="59"/>
    </row>
    <row r="326" spans="1:11">
      <c r="A326" s="8" t="s">
        <v>28</v>
      </c>
      <c r="B326" s="61" t="s">
        <v>49</v>
      </c>
      <c r="C326" s="62"/>
      <c r="D326" s="62"/>
      <c r="E326" s="62"/>
      <c r="F326" s="62"/>
      <c r="G326" s="62"/>
      <c r="H326" s="63"/>
      <c r="I326" s="33"/>
      <c r="J326" s="34"/>
      <c r="K326" s="59"/>
    </row>
    <row r="327" spans="1:11">
      <c r="A327" s="8"/>
      <c r="B327" s="12">
        <v>2</v>
      </c>
      <c r="C327" s="5" t="s">
        <v>29</v>
      </c>
      <c r="D327" s="5"/>
      <c r="E327" s="5"/>
      <c r="F327" s="4" t="s">
        <v>13</v>
      </c>
      <c r="G327" s="4" t="s">
        <v>12</v>
      </c>
      <c r="H327" s="13">
        <v>370000</v>
      </c>
      <c r="I327" s="12" t="s">
        <v>12</v>
      </c>
      <c r="J327" s="32">
        <f>B327*H327</f>
        <v>740000</v>
      </c>
      <c r="K327" s="59"/>
    </row>
    <row r="328" spans="1:11">
      <c r="A328" s="41" t="s">
        <v>30</v>
      </c>
      <c r="B328" s="61" t="s">
        <v>35</v>
      </c>
      <c r="C328" s="62"/>
      <c r="D328" s="62"/>
      <c r="E328" s="62"/>
      <c r="F328" s="62"/>
      <c r="G328" s="62"/>
      <c r="H328" s="63"/>
      <c r="I328" s="33"/>
      <c r="J328" s="32"/>
      <c r="K328" s="59"/>
    </row>
    <row r="329" spans="1:11">
      <c r="A329" s="8"/>
      <c r="B329" s="12">
        <v>1</v>
      </c>
      <c r="C329" s="3" t="s">
        <v>31</v>
      </c>
      <c r="D329" s="42"/>
      <c r="E329" s="43"/>
      <c r="F329" s="4" t="s">
        <v>13</v>
      </c>
      <c r="G329" s="4" t="s">
        <v>12</v>
      </c>
      <c r="H329" s="13">
        <v>650000</v>
      </c>
      <c r="I329" s="12" t="s">
        <v>12</v>
      </c>
      <c r="J329" s="32">
        <f>B329*H329</f>
        <v>650000</v>
      </c>
      <c r="K329" s="59"/>
    </row>
    <row r="330" spans="1:11">
      <c r="A330" s="8"/>
      <c r="B330" s="12"/>
      <c r="C330" s="3"/>
      <c r="D330" s="3"/>
      <c r="E330" s="3"/>
      <c r="F330" s="4"/>
      <c r="G330" s="4"/>
      <c r="H330" s="44"/>
      <c r="I330" s="31"/>
      <c r="J330" s="32"/>
      <c r="K330" s="59"/>
    </row>
    <row r="331" spans="1:11">
      <c r="A331" s="8"/>
      <c r="B331" s="14" t="s">
        <v>14</v>
      </c>
      <c r="C331" s="15"/>
      <c r="D331" s="15"/>
      <c r="E331" s="15"/>
      <c r="F331" s="15"/>
      <c r="G331" s="15"/>
      <c r="H331" s="16"/>
      <c r="I331" s="35" t="s">
        <v>12</v>
      </c>
      <c r="J331" s="36">
        <f>SUM(J324:J329)</f>
        <v>1740000</v>
      </c>
      <c r="K331" s="60"/>
    </row>
    <row r="332" spans="1:11" ht="15.75" thickBot="1">
      <c r="A332" s="17"/>
      <c r="B332" s="18" t="s">
        <v>15</v>
      </c>
      <c r="C332" s="19"/>
      <c r="D332" s="18" t="s">
        <v>56</v>
      </c>
      <c r="E332" s="18"/>
      <c r="F332" s="19"/>
      <c r="G332" s="19"/>
      <c r="H332" s="19"/>
      <c r="I332" s="19"/>
      <c r="J332" s="19"/>
      <c r="K332" s="37"/>
    </row>
    <row r="333" spans="1:11" ht="15.75" thickTop="1">
      <c r="A333" s="20"/>
      <c r="B333" s="21"/>
      <c r="C333" s="22"/>
      <c r="D333" s="21"/>
      <c r="E333" s="21"/>
      <c r="F333" s="22"/>
      <c r="G333" s="22"/>
      <c r="H333" s="22"/>
      <c r="I333" s="22"/>
      <c r="J333" s="22"/>
      <c r="K333" s="22"/>
    </row>
    <row r="334" spans="1:11">
      <c r="A334" s="3"/>
      <c r="B334" s="3"/>
      <c r="C334" s="3"/>
      <c r="D334" s="3"/>
      <c r="E334" s="3"/>
      <c r="F334" s="3"/>
      <c r="G334" s="3"/>
      <c r="H334" s="3"/>
      <c r="I334" s="5" t="s">
        <v>50</v>
      </c>
      <c r="J334" s="3"/>
      <c r="K334" s="5"/>
    </row>
    <row r="335" spans="1:11">
      <c r="A335" s="3"/>
      <c r="B335" s="3" t="s">
        <v>16</v>
      </c>
      <c r="C335" s="3"/>
      <c r="D335" s="3"/>
      <c r="E335" s="3"/>
      <c r="F335" s="3"/>
      <c r="G335" s="3"/>
      <c r="H335" s="3"/>
      <c r="I335" s="5" t="s">
        <v>17</v>
      </c>
      <c r="J335" s="4"/>
      <c r="K335" s="4"/>
    </row>
    <row r="336" spans="1:11">
      <c r="A336" s="3"/>
      <c r="B336" s="5" t="s">
        <v>12</v>
      </c>
      <c r="C336" s="48">
        <f>J331</f>
        <v>1740000</v>
      </c>
      <c r="D336" s="48"/>
      <c r="E336" s="23"/>
      <c r="F336" s="3"/>
      <c r="G336" s="3"/>
      <c r="H336" s="3"/>
      <c r="I336" s="5" t="s">
        <v>12</v>
      </c>
      <c r="J336" s="38">
        <f>C336</f>
        <v>1740000</v>
      </c>
      <c r="K336" s="3"/>
    </row>
    <row r="337" spans="1:1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>
      <c r="A338" s="3"/>
      <c r="B338" s="3" t="s">
        <v>18</v>
      </c>
      <c r="C338" s="3"/>
      <c r="D338" s="3"/>
      <c r="E338" s="3"/>
      <c r="F338" s="3"/>
      <c r="G338" s="3"/>
      <c r="H338" s="3"/>
      <c r="I338" s="5" t="s">
        <v>19</v>
      </c>
      <c r="J338" s="3"/>
      <c r="K338" s="4"/>
    </row>
    <row r="339" spans="1:1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>
      <c r="A342" s="3"/>
      <c r="B342" s="24" t="s">
        <v>32</v>
      </c>
      <c r="C342" s="24"/>
      <c r="D342" s="25"/>
      <c r="E342" s="25"/>
      <c r="F342" s="26"/>
      <c r="G342" s="26"/>
      <c r="H342" s="3"/>
      <c r="I342" s="26" t="s">
        <v>26</v>
      </c>
      <c r="J342" s="25"/>
      <c r="K342" s="25"/>
    </row>
    <row r="343" spans="1:1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</row>
    <row r="345" spans="1:11">
      <c r="A345" s="49" t="s">
        <v>20</v>
      </c>
      <c r="B345" s="49"/>
      <c r="C345" s="49"/>
      <c r="D345" s="49"/>
      <c r="E345" s="49"/>
      <c r="F345" s="49"/>
      <c r="G345" s="49"/>
      <c r="H345" s="49"/>
      <c r="I345" s="49"/>
      <c r="J345" s="49"/>
      <c r="K345" s="49"/>
    </row>
    <row r="346" spans="1:1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>
      <c r="A347" s="3"/>
      <c r="B347" s="3" t="s">
        <v>21</v>
      </c>
      <c r="C347" s="3"/>
      <c r="D347" s="3"/>
      <c r="E347" s="3"/>
      <c r="F347" s="3"/>
      <c r="G347" s="3"/>
      <c r="H347" s="3"/>
      <c r="I347" s="3" t="s">
        <v>22</v>
      </c>
      <c r="J347" s="38">
        <f>(J331)</f>
        <v>1740000</v>
      </c>
      <c r="K347" s="23"/>
    </row>
    <row r="348" spans="1:11">
      <c r="A348" s="3"/>
      <c r="B348" s="3" t="s">
        <v>23</v>
      </c>
      <c r="C348" s="3"/>
      <c r="D348" s="3"/>
      <c r="E348" s="3"/>
      <c r="F348" s="3"/>
      <c r="G348" s="3"/>
      <c r="H348" s="3"/>
      <c r="I348" s="3" t="s">
        <v>22</v>
      </c>
      <c r="J348" s="39">
        <f>(J336)</f>
        <v>1740000</v>
      </c>
      <c r="K348" s="3"/>
    </row>
    <row r="349" spans="1:11">
      <c r="A349" s="3"/>
      <c r="B349" s="3" t="s">
        <v>24</v>
      </c>
      <c r="C349" s="3"/>
      <c r="D349" s="3"/>
      <c r="E349" s="3"/>
      <c r="F349" s="3"/>
      <c r="G349" s="3"/>
      <c r="H349" s="3"/>
      <c r="I349" s="3" t="s">
        <v>22</v>
      </c>
      <c r="J349" s="23">
        <f>J347-J348</f>
        <v>0</v>
      </c>
      <c r="K349" s="3"/>
    </row>
    <row r="350" spans="1:1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>
      <c r="A351" s="3"/>
      <c r="B351" s="3"/>
      <c r="C351" s="3"/>
      <c r="D351" s="3"/>
      <c r="E351" s="3"/>
      <c r="F351" s="3"/>
      <c r="G351" s="3"/>
      <c r="H351" s="3"/>
      <c r="I351" s="3"/>
      <c r="J351" s="15" t="s">
        <v>25</v>
      </c>
      <c r="K351" s="4"/>
    </row>
    <row r="352" spans="1:11">
      <c r="A352" s="3"/>
      <c r="B352" s="3"/>
      <c r="C352" s="3"/>
      <c r="D352" s="3"/>
      <c r="E352" s="3"/>
      <c r="F352" s="3"/>
      <c r="G352" s="3"/>
      <c r="H352" s="3"/>
      <c r="I352" s="3"/>
      <c r="J352" s="5"/>
      <c r="K352" s="3"/>
    </row>
    <row r="353" spans="1:11">
      <c r="A353" s="3"/>
      <c r="B353" s="3"/>
      <c r="C353" s="3"/>
      <c r="D353" s="3"/>
      <c r="E353" s="3"/>
      <c r="F353" s="3"/>
      <c r="G353" s="3"/>
      <c r="H353" s="3"/>
      <c r="I353" s="3"/>
      <c r="J353" s="5"/>
      <c r="K353" s="3"/>
    </row>
    <row r="354" spans="1:11">
      <c r="A354" s="3"/>
      <c r="B354" s="3"/>
      <c r="C354" s="3"/>
      <c r="D354" s="3"/>
      <c r="E354" s="3"/>
      <c r="F354" s="3"/>
      <c r="G354" s="3"/>
      <c r="H354" s="3"/>
      <c r="I354" s="3"/>
      <c r="J354" s="5"/>
      <c r="K354" s="3"/>
    </row>
    <row r="355" spans="1:11">
      <c r="A355" s="3"/>
      <c r="B355" s="3"/>
      <c r="C355" s="3"/>
      <c r="D355" s="3"/>
      <c r="E355" s="3"/>
      <c r="F355" s="3"/>
      <c r="G355" s="3"/>
      <c r="H355" s="3"/>
      <c r="I355" s="3"/>
      <c r="J355" s="24" t="s">
        <v>26</v>
      </c>
      <c r="K355" s="3"/>
    </row>
    <row r="356" spans="1:1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</row>
    <row r="359" spans="1:1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>
      <c r="A365" s="50" t="s">
        <v>0</v>
      </c>
      <c r="B365" s="50"/>
      <c r="C365" s="50"/>
      <c r="D365" s="50"/>
      <c r="E365" s="50"/>
      <c r="F365" s="50"/>
      <c r="G365" s="50"/>
      <c r="H365" s="50"/>
      <c r="I365" s="50"/>
      <c r="J365" s="50"/>
      <c r="K365" s="50"/>
    </row>
    <row r="366" spans="1:11">
      <c r="A366" s="52" t="s">
        <v>1</v>
      </c>
      <c r="B366" s="52"/>
      <c r="C366" s="52"/>
      <c r="D366" s="52"/>
      <c r="E366" s="52"/>
      <c r="F366" s="52"/>
      <c r="G366" s="52"/>
      <c r="H366" s="52"/>
      <c r="I366" s="52"/>
      <c r="J366" s="52"/>
      <c r="K366" s="52"/>
    </row>
    <row r="367" spans="1:1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>
      <c r="A368" s="51" t="s">
        <v>2</v>
      </c>
      <c r="B368" s="51"/>
      <c r="C368" s="51"/>
      <c r="D368" s="51"/>
      <c r="E368" s="51"/>
      <c r="F368" s="51"/>
      <c r="G368" s="51"/>
      <c r="H368" s="51"/>
      <c r="I368" s="51"/>
      <c r="J368" s="51"/>
      <c r="K368" s="51"/>
    </row>
    <row r="369" spans="1:1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>
      <c r="A370" s="3" t="s">
        <v>3</v>
      </c>
      <c r="B370" s="3"/>
      <c r="C370" s="3"/>
      <c r="D370" s="3"/>
      <c r="E370" s="4" t="s">
        <v>4</v>
      </c>
      <c r="F370" s="40" t="s">
        <v>57</v>
      </c>
      <c r="G370" s="3"/>
      <c r="H370" s="3"/>
      <c r="I370" s="3"/>
      <c r="J370" s="3"/>
      <c r="K370" s="3"/>
    </row>
    <row r="371" spans="1:11">
      <c r="A371" s="5" t="s">
        <v>5</v>
      </c>
      <c r="B371" s="5"/>
      <c r="C371" s="5"/>
      <c r="D371" s="5"/>
      <c r="E371" s="4" t="s">
        <v>4</v>
      </c>
      <c r="F371" s="45" t="s">
        <v>46</v>
      </c>
      <c r="G371" s="3"/>
      <c r="H371" s="3"/>
      <c r="I371" s="3"/>
      <c r="J371" s="3"/>
      <c r="K371" s="3"/>
    </row>
    <row r="372" spans="1:11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thickTop="1">
      <c r="A373" s="6" t="s">
        <v>6</v>
      </c>
      <c r="B373" s="53" t="s">
        <v>7</v>
      </c>
      <c r="C373" s="54"/>
      <c r="D373" s="54"/>
      <c r="E373" s="54"/>
      <c r="F373" s="54"/>
      <c r="G373" s="54"/>
      <c r="H373" s="55"/>
      <c r="I373" s="56" t="s">
        <v>8</v>
      </c>
      <c r="J373" s="57"/>
      <c r="K373" s="7" t="s">
        <v>9</v>
      </c>
    </row>
    <row r="374" spans="1:11">
      <c r="A374" s="8"/>
      <c r="B374" s="9"/>
      <c r="C374" s="10"/>
      <c r="D374" s="10"/>
      <c r="E374" s="10"/>
      <c r="F374" s="10"/>
      <c r="G374" s="10"/>
      <c r="H374" s="11"/>
      <c r="I374" s="29"/>
      <c r="J374" s="30"/>
      <c r="K374" s="58"/>
    </row>
    <row r="375" spans="1:11">
      <c r="A375" s="8" t="s">
        <v>10</v>
      </c>
      <c r="B375" s="61" t="s">
        <v>27</v>
      </c>
      <c r="C375" s="62"/>
      <c r="D375" s="62"/>
      <c r="E375" s="62"/>
      <c r="F375" s="62"/>
      <c r="G375" s="62"/>
      <c r="H375" s="63"/>
      <c r="I375" s="31"/>
      <c r="J375" s="32"/>
      <c r="K375" s="59"/>
    </row>
    <row r="376" spans="1:11">
      <c r="A376" s="8"/>
      <c r="B376" s="12" t="s">
        <v>11</v>
      </c>
      <c r="C376" s="3" t="s">
        <v>47</v>
      </c>
      <c r="D376" s="3"/>
      <c r="E376" s="3"/>
      <c r="F376" s="4"/>
      <c r="G376" s="4" t="s">
        <v>12</v>
      </c>
      <c r="H376" s="13">
        <v>0</v>
      </c>
      <c r="I376" s="31" t="s">
        <v>12</v>
      </c>
      <c r="J376" s="32">
        <f>(H376)</f>
        <v>0</v>
      </c>
      <c r="K376" s="59"/>
    </row>
    <row r="377" spans="1:11">
      <c r="A377" s="8"/>
      <c r="B377" s="12" t="s">
        <v>11</v>
      </c>
      <c r="C377" s="3" t="s">
        <v>48</v>
      </c>
      <c r="D377" s="3"/>
      <c r="E377" s="3"/>
      <c r="F377" s="4"/>
      <c r="G377" s="4" t="s">
        <v>12</v>
      </c>
      <c r="H377" s="13">
        <v>0</v>
      </c>
      <c r="I377" s="31" t="s">
        <v>12</v>
      </c>
      <c r="J377" s="32">
        <f>(H377)</f>
        <v>0</v>
      </c>
      <c r="K377" s="59"/>
    </row>
    <row r="378" spans="1:11">
      <c r="A378" s="8" t="s">
        <v>28</v>
      </c>
      <c r="B378" s="61" t="s">
        <v>49</v>
      </c>
      <c r="C378" s="62"/>
      <c r="D378" s="62"/>
      <c r="E378" s="62"/>
      <c r="F378" s="62"/>
      <c r="G378" s="62"/>
      <c r="H378" s="63"/>
      <c r="I378" s="33"/>
      <c r="J378" s="34"/>
      <c r="K378" s="59"/>
    </row>
    <row r="379" spans="1:11">
      <c r="A379" s="8"/>
      <c r="B379" s="12">
        <v>3</v>
      </c>
      <c r="C379" s="5" t="s">
        <v>29</v>
      </c>
      <c r="D379" s="5"/>
      <c r="E379" s="5"/>
      <c r="F379" s="4" t="s">
        <v>13</v>
      </c>
      <c r="G379" s="4" t="s">
        <v>12</v>
      </c>
      <c r="H379" s="13">
        <v>370000</v>
      </c>
      <c r="I379" s="12" t="s">
        <v>12</v>
      </c>
      <c r="J379" s="32">
        <f>B379*H379</f>
        <v>1110000</v>
      </c>
      <c r="K379" s="59"/>
    </row>
    <row r="380" spans="1:11">
      <c r="A380" s="41" t="s">
        <v>30</v>
      </c>
      <c r="B380" s="61" t="s">
        <v>35</v>
      </c>
      <c r="C380" s="62"/>
      <c r="D380" s="62"/>
      <c r="E380" s="62"/>
      <c r="F380" s="62"/>
      <c r="G380" s="62"/>
      <c r="H380" s="63"/>
      <c r="I380" s="33"/>
      <c r="J380" s="32"/>
      <c r="K380" s="59"/>
    </row>
    <row r="381" spans="1:11">
      <c r="A381" s="8"/>
      <c r="B381" s="12">
        <v>2</v>
      </c>
      <c r="C381" s="3" t="s">
        <v>58</v>
      </c>
      <c r="D381" s="42"/>
      <c r="E381" s="43"/>
      <c r="F381" s="4" t="s">
        <v>13</v>
      </c>
      <c r="G381" s="4" t="s">
        <v>12</v>
      </c>
      <c r="H381" s="13">
        <v>270000</v>
      </c>
      <c r="I381" s="12" t="s">
        <v>12</v>
      </c>
      <c r="J381" s="32">
        <f>B381*H381</f>
        <v>540000</v>
      </c>
      <c r="K381" s="59"/>
    </row>
    <row r="382" spans="1:11">
      <c r="A382" s="8"/>
      <c r="B382" s="12"/>
      <c r="C382" s="3"/>
      <c r="D382" s="3"/>
      <c r="E382" s="3"/>
      <c r="F382" s="4"/>
      <c r="G382" s="4"/>
      <c r="H382" s="44"/>
      <c r="I382" s="31"/>
      <c r="J382" s="32"/>
      <c r="K382" s="59"/>
    </row>
    <row r="383" spans="1:11">
      <c r="A383" s="8"/>
      <c r="B383" s="14" t="s">
        <v>14</v>
      </c>
      <c r="C383" s="15"/>
      <c r="D383" s="15"/>
      <c r="E383" s="15"/>
      <c r="F383" s="15"/>
      <c r="G383" s="15"/>
      <c r="H383" s="16"/>
      <c r="I383" s="35" t="s">
        <v>12</v>
      </c>
      <c r="J383" s="36">
        <f>SUM(J376:J381)</f>
        <v>1650000</v>
      </c>
      <c r="K383" s="60"/>
    </row>
    <row r="384" spans="1:11" ht="15.75" thickBot="1">
      <c r="A384" s="17"/>
      <c r="B384" s="18" t="s">
        <v>15</v>
      </c>
      <c r="C384" s="19"/>
      <c r="D384" s="18" t="s">
        <v>59</v>
      </c>
      <c r="E384" s="18"/>
      <c r="F384" s="19"/>
      <c r="G384" s="19"/>
      <c r="H384" s="19"/>
      <c r="I384" s="19"/>
      <c r="J384" s="19"/>
      <c r="K384" s="37"/>
    </row>
    <row r="385" spans="1:11" ht="15.75" thickTop="1">
      <c r="A385" s="20"/>
      <c r="B385" s="21"/>
      <c r="C385" s="22"/>
      <c r="D385" s="21"/>
      <c r="E385" s="21"/>
      <c r="F385" s="22"/>
      <c r="G385" s="22"/>
      <c r="H385" s="22"/>
      <c r="I385" s="22"/>
      <c r="J385" s="22"/>
      <c r="K385" s="22"/>
    </row>
    <row r="386" spans="1:11">
      <c r="A386" s="3"/>
      <c r="B386" s="3"/>
      <c r="C386" s="3"/>
      <c r="D386" s="3"/>
      <c r="E386" s="3"/>
      <c r="F386" s="3"/>
      <c r="G386" s="3"/>
      <c r="H386" s="3"/>
      <c r="I386" s="5" t="s">
        <v>50</v>
      </c>
      <c r="J386" s="3"/>
      <c r="K386" s="5"/>
    </row>
    <row r="387" spans="1:11">
      <c r="A387" s="3"/>
      <c r="B387" s="3" t="s">
        <v>16</v>
      </c>
      <c r="C387" s="3"/>
      <c r="D387" s="3"/>
      <c r="E387" s="3"/>
      <c r="F387" s="3"/>
      <c r="G387" s="3"/>
      <c r="H387" s="3"/>
      <c r="I387" s="5" t="s">
        <v>17</v>
      </c>
      <c r="J387" s="4"/>
      <c r="K387" s="4"/>
    </row>
    <row r="388" spans="1:11">
      <c r="A388" s="3"/>
      <c r="B388" s="5" t="s">
        <v>12</v>
      </c>
      <c r="C388" s="48">
        <f>J383</f>
        <v>1650000</v>
      </c>
      <c r="D388" s="48"/>
      <c r="E388" s="23"/>
      <c r="F388" s="3"/>
      <c r="G388" s="3"/>
      <c r="H388" s="3"/>
      <c r="I388" s="5" t="s">
        <v>12</v>
      </c>
      <c r="J388" s="38">
        <f>C388</f>
        <v>1650000</v>
      </c>
      <c r="K388" s="3"/>
    </row>
    <row r="389" spans="1:1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>
      <c r="A390" s="3"/>
      <c r="B390" s="3" t="s">
        <v>18</v>
      </c>
      <c r="C390" s="3"/>
      <c r="D390" s="3"/>
      <c r="E390" s="3"/>
      <c r="F390" s="3"/>
      <c r="G390" s="3"/>
      <c r="H390" s="3"/>
      <c r="I390" s="5" t="s">
        <v>19</v>
      </c>
      <c r="J390" s="3"/>
      <c r="K390" s="4"/>
    </row>
    <row r="391" spans="1:1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>
      <c r="A394" s="3"/>
      <c r="B394" s="24" t="s">
        <v>32</v>
      </c>
      <c r="C394" s="24"/>
      <c r="D394" s="25"/>
      <c r="E394" s="25"/>
      <c r="F394" s="26"/>
      <c r="G394" s="26"/>
      <c r="H394" s="3"/>
      <c r="I394" s="26" t="s">
        <v>60</v>
      </c>
      <c r="J394" s="25"/>
      <c r="K394" s="25"/>
    </row>
    <row r="395" spans="1:1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</row>
    <row r="397" spans="1:11">
      <c r="A397" s="49" t="s">
        <v>20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</row>
    <row r="398" spans="1:1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>
      <c r="A399" s="3"/>
      <c r="B399" s="3" t="s">
        <v>21</v>
      </c>
      <c r="C399" s="3"/>
      <c r="D399" s="3"/>
      <c r="E399" s="3"/>
      <c r="F399" s="3"/>
      <c r="G399" s="3"/>
      <c r="H399" s="3"/>
      <c r="I399" s="3" t="s">
        <v>22</v>
      </c>
      <c r="J399" s="38">
        <f>(J383)</f>
        <v>1650000</v>
      </c>
      <c r="K399" s="23"/>
    </row>
    <row r="400" spans="1:11">
      <c r="A400" s="3"/>
      <c r="B400" s="3" t="s">
        <v>23</v>
      </c>
      <c r="C400" s="3"/>
      <c r="D400" s="3"/>
      <c r="E400" s="3"/>
      <c r="F400" s="3"/>
      <c r="G400" s="3"/>
      <c r="H400" s="3"/>
      <c r="I400" s="3" t="s">
        <v>22</v>
      </c>
      <c r="J400" s="39">
        <f>(J388)</f>
        <v>1650000</v>
      </c>
      <c r="K400" s="3"/>
    </row>
    <row r="401" spans="1:11">
      <c r="A401" s="3"/>
      <c r="B401" s="3" t="s">
        <v>24</v>
      </c>
      <c r="C401" s="3"/>
      <c r="D401" s="3"/>
      <c r="E401" s="3"/>
      <c r="F401" s="3"/>
      <c r="G401" s="3"/>
      <c r="H401" s="3"/>
      <c r="I401" s="3" t="s">
        <v>22</v>
      </c>
      <c r="J401" s="23">
        <f>J399-J400</f>
        <v>0</v>
      </c>
      <c r="K401" s="3"/>
    </row>
    <row r="402" spans="1:1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>
      <c r="A403" s="3"/>
      <c r="B403" s="3"/>
      <c r="C403" s="3"/>
      <c r="D403" s="3"/>
      <c r="E403" s="3"/>
      <c r="F403" s="3"/>
      <c r="G403" s="3"/>
      <c r="H403" s="3"/>
      <c r="I403" s="3"/>
      <c r="J403" s="15" t="s">
        <v>25</v>
      </c>
      <c r="K403" s="4"/>
    </row>
    <row r="404" spans="1:11">
      <c r="A404" s="3"/>
      <c r="B404" s="3"/>
      <c r="C404" s="3"/>
      <c r="D404" s="3"/>
      <c r="E404" s="3"/>
      <c r="F404" s="3"/>
      <c r="G404" s="3"/>
      <c r="H404" s="3"/>
      <c r="I404" s="3"/>
      <c r="J404" s="5"/>
      <c r="K404" s="3"/>
    </row>
    <row r="405" spans="1:11">
      <c r="A405" s="3"/>
      <c r="B405" s="3"/>
      <c r="C405" s="3"/>
      <c r="D405" s="3"/>
      <c r="E405" s="3"/>
      <c r="F405" s="3"/>
      <c r="G405" s="3"/>
      <c r="H405" s="3"/>
      <c r="I405" s="3"/>
      <c r="J405" s="5"/>
      <c r="K405" s="3"/>
    </row>
    <row r="406" spans="1:11">
      <c r="A406" s="3"/>
      <c r="B406" s="3"/>
      <c r="C406" s="3"/>
      <c r="D406" s="3"/>
      <c r="E406" s="3"/>
      <c r="F406" s="3"/>
      <c r="G406" s="3"/>
      <c r="H406" s="3"/>
      <c r="I406" s="3"/>
      <c r="J406" s="5"/>
      <c r="K406" s="3"/>
    </row>
    <row r="407" spans="1:11">
      <c r="A407" s="3"/>
      <c r="B407" s="3"/>
      <c r="C407" s="3"/>
      <c r="D407" s="3"/>
      <c r="E407" s="3"/>
      <c r="F407" s="3"/>
      <c r="G407" s="3"/>
      <c r="H407" s="3"/>
      <c r="I407" s="3"/>
      <c r="J407" s="24" t="s">
        <v>26</v>
      </c>
      <c r="K407" s="3"/>
    </row>
    <row r="408" spans="1:1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</row>
    <row r="411" spans="1: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>
      <c r="A417" s="50" t="s">
        <v>0</v>
      </c>
      <c r="B417" s="50"/>
      <c r="C417" s="50"/>
      <c r="D417" s="50"/>
      <c r="E417" s="50"/>
      <c r="F417" s="50"/>
      <c r="G417" s="50"/>
      <c r="H417" s="50"/>
      <c r="I417" s="50"/>
      <c r="J417" s="50"/>
      <c r="K417" s="50"/>
    </row>
    <row r="418" spans="1:11">
      <c r="A418" s="52" t="s">
        <v>1</v>
      </c>
      <c r="B418" s="52"/>
      <c r="C418" s="52"/>
      <c r="D418" s="52"/>
      <c r="E418" s="52"/>
      <c r="F418" s="52"/>
      <c r="G418" s="52"/>
      <c r="H418" s="52"/>
      <c r="I418" s="52"/>
      <c r="J418" s="52"/>
      <c r="K418" s="52"/>
    </row>
    <row r="419" spans="1:1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>
      <c r="A420" s="51" t="s">
        <v>2</v>
      </c>
      <c r="B420" s="51"/>
      <c r="C420" s="51"/>
      <c r="D420" s="51"/>
      <c r="E420" s="51"/>
      <c r="F420" s="51"/>
      <c r="G420" s="51"/>
      <c r="H420" s="51"/>
      <c r="I420" s="51"/>
      <c r="J420" s="51"/>
      <c r="K420" s="51"/>
    </row>
    <row r="421" spans="1:1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>
      <c r="A422" s="3" t="s">
        <v>3</v>
      </c>
      <c r="B422" s="3"/>
      <c r="C422" s="3"/>
      <c r="D422" s="3"/>
      <c r="E422" s="4" t="s">
        <v>4</v>
      </c>
      <c r="F422" s="40" t="s">
        <v>63</v>
      </c>
      <c r="G422" s="3"/>
      <c r="H422" s="3"/>
      <c r="I422" s="3"/>
      <c r="J422" s="3"/>
      <c r="K422" s="3"/>
    </row>
    <row r="423" spans="1:11">
      <c r="A423" s="5" t="s">
        <v>5</v>
      </c>
      <c r="B423" s="5"/>
      <c r="C423" s="5"/>
      <c r="D423" s="5"/>
      <c r="E423" s="4" t="s">
        <v>4</v>
      </c>
      <c r="F423" s="45" t="s">
        <v>64</v>
      </c>
      <c r="G423" s="3"/>
      <c r="H423" s="3"/>
      <c r="I423" s="3"/>
      <c r="J423" s="3"/>
      <c r="K423" s="3"/>
    </row>
    <row r="424" spans="1:11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thickTop="1">
      <c r="A425" s="6" t="s">
        <v>6</v>
      </c>
      <c r="B425" s="53" t="s">
        <v>7</v>
      </c>
      <c r="C425" s="54"/>
      <c r="D425" s="54"/>
      <c r="E425" s="54"/>
      <c r="F425" s="54"/>
      <c r="G425" s="54"/>
      <c r="H425" s="55"/>
      <c r="I425" s="56" t="s">
        <v>8</v>
      </c>
      <c r="J425" s="57"/>
      <c r="K425" s="7" t="s">
        <v>9</v>
      </c>
    </row>
    <row r="426" spans="1:11">
      <c r="A426" s="8"/>
      <c r="B426" s="9"/>
      <c r="C426" s="10"/>
      <c r="D426" s="10"/>
      <c r="E426" s="10"/>
      <c r="F426" s="10"/>
      <c r="G426" s="10"/>
      <c r="H426" s="11"/>
      <c r="I426" s="29"/>
      <c r="J426" s="30"/>
      <c r="K426" s="58"/>
    </row>
    <row r="427" spans="1:11">
      <c r="A427" s="8" t="s">
        <v>10</v>
      </c>
      <c r="B427" s="61" t="s">
        <v>27</v>
      </c>
      <c r="C427" s="62"/>
      <c r="D427" s="62"/>
      <c r="E427" s="62"/>
      <c r="F427" s="62"/>
      <c r="G427" s="62"/>
      <c r="H427" s="63"/>
      <c r="I427" s="31"/>
      <c r="J427" s="32"/>
      <c r="K427" s="59"/>
    </row>
    <row r="428" spans="1:11">
      <c r="A428" s="8"/>
      <c r="B428" s="12" t="s">
        <v>11</v>
      </c>
      <c r="C428" s="3" t="s">
        <v>47</v>
      </c>
      <c r="D428" s="3"/>
      <c r="E428" s="3"/>
      <c r="F428" s="4"/>
      <c r="G428" s="4" t="s">
        <v>12</v>
      </c>
      <c r="H428" s="13">
        <v>300000</v>
      </c>
      <c r="I428" s="31" t="s">
        <v>12</v>
      </c>
      <c r="J428" s="32">
        <f>(H428)</f>
        <v>300000</v>
      </c>
      <c r="K428" s="59"/>
    </row>
    <row r="429" spans="1:11">
      <c r="A429" s="8"/>
      <c r="B429" s="12" t="s">
        <v>11</v>
      </c>
      <c r="C429" s="3" t="s">
        <v>48</v>
      </c>
      <c r="D429" s="3"/>
      <c r="E429" s="3"/>
      <c r="F429" s="4"/>
      <c r="G429" s="4" t="s">
        <v>12</v>
      </c>
      <c r="H429" s="13">
        <v>300000</v>
      </c>
      <c r="I429" s="31" t="s">
        <v>12</v>
      </c>
      <c r="J429" s="32">
        <f>(H429)</f>
        <v>300000</v>
      </c>
      <c r="K429" s="59"/>
    </row>
    <row r="430" spans="1:11">
      <c r="A430" s="8" t="s">
        <v>28</v>
      </c>
      <c r="B430" s="61" t="s">
        <v>41</v>
      </c>
      <c r="C430" s="62"/>
      <c r="D430" s="62"/>
      <c r="E430" s="62"/>
      <c r="F430" s="62"/>
      <c r="G430" s="62"/>
      <c r="H430" s="63"/>
      <c r="I430" s="33"/>
      <c r="J430" s="34"/>
      <c r="K430" s="59"/>
    </row>
    <row r="431" spans="1:11">
      <c r="A431" s="8"/>
      <c r="B431" s="12">
        <v>3</v>
      </c>
      <c r="C431" s="5" t="s">
        <v>29</v>
      </c>
      <c r="D431" s="5"/>
      <c r="E431" s="5"/>
      <c r="F431" s="4" t="s">
        <v>13</v>
      </c>
      <c r="G431" s="4" t="s">
        <v>12</v>
      </c>
      <c r="H431" s="13">
        <v>150000</v>
      </c>
      <c r="I431" s="12" t="s">
        <v>12</v>
      </c>
      <c r="J431" s="32">
        <f>B431*H431</f>
        <v>450000</v>
      </c>
      <c r="K431" s="59"/>
    </row>
    <row r="432" spans="1:11">
      <c r="A432" s="41" t="s">
        <v>30</v>
      </c>
      <c r="B432" s="61" t="s">
        <v>35</v>
      </c>
      <c r="C432" s="62"/>
      <c r="D432" s="62"/>
      <c r="E432" s="62"/>
      <c r="F432" s="62"/>
      <c r="G432" s="62"/>
      <c r="H432" s="63"/>
      <c r="I432" s="33"/>
      <c r="J432" s="32"/>
      <c r="K432" s="59"/>
    </row>
    <row r="433" spans="1:11">
      <c r="A433" s="8"/>
      <c r="B433" s="12">
        <v>2</v>
      </c>
      <c r="C433" s="3" t="s">
        <v>31</v>
      </c>
      <c r="D433" s="42"/>
      <c r="E433" s="43"/>
      <c r="F433" s="4" t="s">
        <v>13</v>
      </c>
      <c r="G433" s="4" t="s">
        <v>12</v>
      </c>
      <c r="H433" s="13">
        <v>250000</v>
      </c>
      <c r="I433" s="12" t="s">
        <v>12</v>
      </c>
      <c r="J433" s="32">
        <f>B433*H433</f>
        <v>500000</v>
      </c>
      <c r="K433" s="59"/>
    </row>
    <row r="434" spans="1:11">
      <c r="A434" s="8"/>
      <c r="B434" s="12"/>
      <c r="C434" s="3"/>
      <c r="D434" s="3"/>
      <c r="E434" s="3"/>
      <c r="F434" s="4"/>
      <c r="G434" s="4"/>
      <c r="H434" s="44"/>
      <c r="I434" s="31"/>
      <c r="J434" s="32"/>
      <c r="K434" s="59"/>
    </row>
    <row r="435" spans="1:11">
      <c r="A435" s="8"/>
      <c r="B435" s="14" t="s">
        <v>14</v>
      </c>
      <c r="C435" s="15"/>
      <c r="D435" s="15"/>
      <c r="E435" s="15"/>
      <c r="F435" s="15"/>
      <c r="G435" s="15"/>
      <c r="H435" s="16"/>
      <c r="I435" s="35" t="s">
        <v>12</v>
      </c>
      <c r="J435" s="36">
        <f>SUM(J428:J433)</f>
        <v>1550000</v>
      </c>
      <c r="K435" s="60"/>
    </row>
    <row r="436" spans="1:11" ht="15.75" thickBot="1">
      <c r="A436" s="17"/>
      <c r="B436" s="18" t="s">
        <v>15</v>
      </c>
      <c r="C436" s="19"/>
      <c r="D436" s="18" t="s">
        <v>98</v>
      </c>
      <c r="E436" s="18"/>
      <c r="F436" s="19"/>
      <c r="G436" s="19"/>
      <c r="H436" s="19"/>
      <c r="I436" s="19"/>
      <c r="J436" s="19"/>
      <c r="K436" s="37"/>
    </row>
    <row r="437" spans="1:11" ht="15.75" thickTop="1">
      <c r="A437" s="20"/>
      <c r="B437" s="21"/>
      <c r="C437" s="22"/>
      <c r="D437" s="21"/>
      <c r="E437" s="21"/>
      <c r="F437" s="22"/>
      <c r="G437" s="22"/>
      <c r="H437" s="22"/>
      <c r="I437" s="22"/>
      <c r="J437" s="22"/>
      <c r="K437" s="22"/>
    </row>
    <row r="438" spans="1:11">
      <c r="A438" s="3"/>
      <c r="B438" s="3"/>
      <c r="C438" s="3"/>
      <c r="D438" s="3"/>
      <c r="E438" s="3"/>
      <c r="F438" s="3"/>
      <c r="G438" s="3"/>
      <c r="H438" s="3"/>
      <c r="I438" s="5" t="s">
        <v>65</v>
      </c>
      <c r="J438" s="3"/>
      <c r="K438" s="5"/>
    </row>
    <row r="439" spans="1:11">
      <c r="A439" s="3"/>
      <c r="B439" s="3" t="s">
        <v>16</v>
      </c>
      <c r="C439" s="3"/>
      <c r="D439" s="3"/>
      <c r="E439" s="3"/>
      <c r="F439" s="3"/>
      <c r="G439" s="3"/>
      <c r="H439" s="3"/>
      <c r="I439" s="5" t="s">
        <v>17</v>
      </c>
      <c r="J439" s="4"/>
      <c r="K439" s="4"/>
    </row>
    <row r="440" spans="1:11">
      <c r="A440" s="3"/>
      <c r="B440" s="5" t="s">
        <v>12</v>
      </c>
      <c r="C440" s="48">
        <f>J435</f>
        <v>1550000</v>
      </c>
      <c r="D440" s="48"/>
      <c r="E440" s="23"/>
      <c r="F440" s="3"/>
      <c r="G440" s="3"/>
      <c r="H440" s="3"/>
      <c r="I440" s="5" t="s">
        <v>12</v>
      </c>
      <c r="J440" s="38">
        <f>C440</f>
        <v>1550000</v>
      </c>
      <c r="K440" s="3"/>
    </row>
    <row r="441" spans="1:1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>
      <c r="A442" s="3"/>
      <c r="B442" s="3" t="s">
        <v>18</v>
      </c>
      <c r="C442" s="3"/>
      <c r="D442" s="3"/>
      <c r="E442" s="3"/>
      <c r="F442" s="3"/>
      <c r="G442" s="3"/>
      <c r="H442" s="3"/>
      <c r="I442" s="5" t="s">
        <v>19</v>
      </c>
      <c r="J442" s="3"/>
      <c r="K442" s="4"/>
    </row>
    <row r="443" spans="1:1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>
      <c r="A446" s="3"/>
      <c r="B446" s="24" t="s">
        <v>32</v>
      </c>
      <c r="C446" s="24"/>
      <c r="D446" s="25"/>
      <c r="E446" s="25"/>
      <c r="F446" s="26"/>
      <c r="G446" s="26"/>
      <c r="H446" s="3"/>
      <c r="I446" s="26" t="s">
        <v>51</v>
      </c>
      <c r="J446" s="25"/>
      <c r="K446" s="25"/>
    </row>
    <row r="447" spans="1:1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</row>
    <row r="449" spans="1:11">
      <c r="A449" s="49" t="s">
        <v>20</v>
      </c>
      <c r="B449" s="49"/>
      <c r="C449" s="49"/>
      <c r="D449" s="49"/>
      <c r="E449" s="49"/>
      <c r="F449" s="49"/>
      <c r="G449" s="49"/>
      <c r="H449" s="49"/>
      <c r="I449" s="49"/>
      <c r="J449" s="49"/>
      <c r="K449" s="49"/>
    </row>
    <row r="450" spans="1:1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>
      <c r="A451" s="3"/>
      <c r="B451" s="3" t="s">
        <v>21</v>
      </c>
      <c r="C451" s="3"/>
      <c r="D451" s="3"/>
      <c r="E451" s="3"/>
      <c r="F451" s="3"/>
      <c r="G451" s="3"/>
      <c r="H451" s="3"/>
      <c r="I451" s="3" t="s">
        <v>22</v>
      </c>
      <c r="J451" s="38">
        <f>(J435)</f>
        <v>1550000</v>
      </c>
      <c r="K451" s="23"/>
    </row>
    <row r="452" spans="1:11">
      <c r="A452" s="3"/>
      <c r="B452" s="3" t="s">
        <v>23</v>
      </c>
      <c r="C452" s="3"/>
      <c r="D452" s="3"/>
      <c r="E452" s="3"/>
      <c r="F452" s="3"/>
      <c r="G452" s="3"/>
      <c r="H452" s="3"/>
      <c r="I452" s="3" t="s">
        <v>22</v>
      </c>
      <c r="J452" s="39">
        <f>(J440)</f>
        <v>1550000</v>
      </c>
      <c r="K452" s="3"/>
    </row>
    <row r="453" spans="1:11">
      <c r="A453" s="3"/>
      <c r="B453" s="3" t="s">
        <v>24</v>
      </c>
      <c r="C453" s="3"/>
      <c r="D453" s="3"/>
      <c r="E453" s="3"/>
      <c r="F453" s="3"/>
      <c r="G453" s="3"/>
      <c r="H453" s="3"/>
      <c r="I453" s="3" t="s">
        <v>22</v>
      </c>
      <c r="J453" s="23">
        <f>J451-J452</f>
        <v>0</v>
      </c>
      <c r="K453" s="3"/>
    </row>
    <row r="454" spans="1:1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>
      <c r="A455" s="3"/>
      <c r="B455" s="3"/>
      <c r="C455" s="3"/>
      <c r="D455" s="3"/>
      <c r="E455" s="3"/>
      <c r="F455" s="3"/>
      <c r="G455" s="3"/>
      <c r="H455" s="3"/>
      <c r="I455" s="3"/>
      <c r="J455" s="15" t="s">
        <v>25</v>
      </c>
      <c r="K455" s="4"/>
    </row>
    <row r="456" spans="1:11">
      <c r="A456" s="3"/>
      <c r="B456" s="3"/>
      <c r="C456" s="3"/>
      <c r="D456" s="3"/>
      <c r="E456" s="3"/>
      <c r="F456" s="3"/>
      <c r="G456" s="3"/>
      <c r="H456" s="3"/>
      <c r="I456" s="3"/>
      <c r="J456" s="5"/>
      <c r="K456" s="3"/>
    </row>
    <row r="457" spans="1:11">
      <c r="A457" s="3"/>
      <c r="B457" s="3"/>
      <c r="C457" s="3"/>
      <c r="D457" s="3"/>
      <c r="E457" s="3"/>
      <c r="F457" s="3"/>
      <c r="G457" s="3"/>
      <c r="H457" s="3"/>
      <c r="I457" s="3"/>
      <c r="J457" s="5"/>
      <c r="K457" s="3"/>
    </row>
    <row r="458" spans="1:11">
      <c r="A458" s="3"/>
      <c r="B458" s="3"/>
      <c r="C458" s="3"/>
      <c r="D458" s="3"/>
      <c r="E458" s="3"/>
      <c r="F458" s="3"/>
      <c r="G458" s="3"/>
      <c r="H458" s="3"/>
      <c r="I458" s="3"/>
      <c r="J458" s="5"/>
      <c r="K458" s="3"/>
    </row>
    <row r="459" spans="1:11">
      <c r="A459" s="3"/>
      <c r="B459" s="3"/>
      <c r="C459" s="3"/>
      <c r="D459" s="3"/>
      <c r="E459" s="3"/>
      <c r="F459" s="3"/>
      <c r="G459" s="3"/>
      <c r="H459" s="3"/>
      <c r="I459" s="3"/>
      <c r="J459" s="24" t="s">
        <v>26</v>
      </c>
      <c r="K459" s="3"/>
    </row>
    <row r="460" spans="1:1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</row>
    <row r="462" spans="1:1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>
      <c r="A468" s="50" t="s">
        <v>0</v>
      </c>
      <c r="B468" s="50"/>
      <c r="C468" s="50"/>
      <c r="D468" s="50"/>
      <c r="E468" s="50"/>
      <c r="F468" s="50"/>
      <c r="G468" s="50"/>
      <c r="H468" s="50"/>
      <c r="I468" s="50"/>
      <c r="J468" s="50"/>
      <c r="K468" s="50"/>
    </row>
    <row r="469" spans="1:11">
      <c r="A469" s="52" t="s">
        <v>1</v>
      </c>
      <c r="B469" s="52"/>
      <c r="C469" s="52"/>
      <c r="D469" s="52"/>
      <c r="E469" s="52"/>
      <c r="F469" s="52"/>
      <c r="G469" s="52"/>
      <c r="H469" s="52"/>
      <c r="I469" s="52"/>
      <c r="J469" s="52"/>
      <c r="K469" s="52"/>
    </row>
    <row r="470" spans="1:1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>
      <c r="A471" s="51" t="s">
        <v>2</v>
      </c>
      <c r="B471" s="51"/>
      <c r="C471" s="51"/>
      <c r="D471" s="51"/>
      <c r="E471" s="51"/>
      <c r="F471" s="51"/>
      <c r="G471" s="51"/>
      <c r="H471" s="51"/>
      <c r="I471" s="51"/>
      <c r="J471" s="51"/>
      <c r="K471" s="51"/>
    </row>
    <row r="472" spans="1:1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>
      <c r="A473" s="3" t="s">
        <v>3</v>
      </c>
      <c r="B473" s="3"/>
      <c r="C473" s="3"/>
      <c r="D473" s="3"/>
      <c r="E473" s="4" t="s">
        <v>4</v>
      </c>
      <c r="F473" s="40" t="s">
        <v>66</v>
      </c>
      <c r="G473" s="3"/>
      <c r="H473" s="3"/>
      <c r="I473" s="3"/>
      <c r="J473" s="3"/>
      <c r="K473" s="3"/>
    </row>
    <row r="474" spans="1:11">
      <c r="A474" s="5" t="s">
        <v>5</v>
      </c>
      <c r="B474" s="5"/>
      <c r="C474" s="5"/>
      <c r="D474" s="5"/>
      <c r="E474" s="4" t="s">
        <v>4</v>
      </c>
      <c r="F474" s="45" t="s">
        <v>64</v>
      </c>
      <c r="G474" s="3"/>
      <c r="H474" s="3"/>
      <c r="I474" s="3"/>
      <c r="J474" s="3"/>
      <c r="K474" s="3"/>
    </row>
    <row r="475" spans="1:11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thickTop="1">
      <c r="A476" s="6" t="s">
        <v>6</v>
      </c>
      <c r="B476" s="53" t="s">
        <v>7</v>
      </c>
      <c r="C476" s="54"/>
      <c r="D476" s="54"/>
      <c r="E476" s="54"/>
      <c r="F476" s="54"/>
      <c r="G476" s="54"/>
      <c r="H476" s="55"/>
      <c r="I476" s="56" t="s">
        <v>8</v>
      </c>
      <c r="J476" s="57"/>
      <c r="K476" s="7" t="s">
        <v>9</v>
      </c>
    </row>
    <row r="477" spans="1:11">
      <c r="A477" s="8"/>
      <c r="B477" s="9"/>
      <c r="C477" s="10"/>
      <c r="D477" s="10"/>
      <c r="E477" s="10"/>
      <c r="F477" s="10"/>
      <c r="G477" s="10"/>
      <c r="H477" s="11"/>
      <c r="I477" s="29"/>
      <c r="J477" s="30"/>
      <c r="K477" s="58"/>
    </row>
    <row r="478" spans="1:11">
      <c r="A478" s="8" t="s">
        <v>10</v>
      </c>
      <c r="B478" s="61" t="s">
        <v>27</v>
      </c>
      <c r="C478" s="62"/>
      <c r="D478" s="62"/>
      <c r="E478" s="62"/>
      <c r="F478" s="62"/>
      <c r="G478" s="62"/>
      <c r="H478" s="63"/>
      <c r="I478" s="31"/>
      <c r="J478" s="32"/>
      <c r="K478" s="59"/>
    </row>
    <row r="479" spans="1:11">
      <c r="A479" s="8"/>
      <c r="B479" s="12" t="s">
        <v>11</v>
      </c>
      <c r="C479" s="3" t="s">
        <v>47</v>
      </c>
      <c r="D479" s="3"/>
      <c r="E479" s="3"/>
      <c r="F479" s="4"/>
      <c r="G479" s="4" t="s">
        <v>12</v>
      </c>
      <c r="H479" s="13">
        <v>0</v>
      </c>
      <c r="I479" s="31" t="s">
        <v>12</v>
      </c>
      <c r="J479" s="32">
        <f>(H479)</f>
        <v>0</v>
      </c>
      <c r="K479" s="59"/>
    </row>
    <row r="480" spans="1:11">
      <c r="A480" s="8"/>
      <c r="B480" s="12" t="s">
        <v>11</v>
      </c>
      <c r="C480" s="3" t="s">
        <v>48</v>
      </c>
      <c r="D480" s="3"/>
      <c r="E480" s="3"/>
      <c r="F480" s="4"/>
      <c r="G480" s="4" t="s">
        <v>12</v>
      </c>
      <c r="H480" s="13">
        <v>0</v>
      </c>
      <c r="I480" s="31" t="s">
        <v>12</v>
      </c>
      <c r="J480" s="32">
        <f>(H480)</f>
        <v>0</v>
      </c>
      <c r="K480" s="59"/>
    </row>
    <row r="481" spans="1:11">
      <c r="A481" s="8" t="s">
        <v>28</v>
      </c>
      <c r="B481" s="61" t="s">
        <v>41</v>
      </c>
      <c r="C481" s="62"/>
      <c r="D481" s="62"/>
      <c r="E481" s="62"/>
      <c r="F481" s="62"/>
      <c r="G481" s="62"/>
      <c r="H481" s="63"/>
      <c r="I481" s="33"/>
      <c r="J481" s="34"/>
      <c r="K481" s="59"/>
    </row>
    <row r="482" spans="1:11">
      <c r="A482" s="8"/>
      <c r="B482" s="12">
        <v>3</v>
      </c>
      <c r="C482" s="5" t="s">
        <v>29</v>
      </c>
      <c r="D482" s="5"/>
      <c r="E482" s="5"/>
      <c r="F482" s="4" t="s">
        <v>13</v>
      </c>
      <c r="G482" s="4" t="s">
        <v>12</v>
      </c>
      <c r="H482" s="13">
        <v>150000</v>
      </c>
      <c r="I482" s="12" t="s">
        <v>12</v>
      </c>
      <c r="J482" s="32">
        <f>B482*H482</f>
        <v>450000</v>
      </c>
      <c r="K482" s="59"/>
    </row>
    <row r="483" spans="1:11">
      <c r="A483" s="41" t="s">
        <v>30</v>
      </c>
      <c r="B483" s="61" t="s">
        <v>35</v>
      </c>
      <c r="C483" s="62"/>
      <c r="D483" s="62"/>
      <c r="E483" s="62"/>
      <c r="F483" s="62"/>
      <c r="G483" s="62"/>
      <c r="H483" s="63"/>
      <c r="I483" s="33"/>
      <c r="J483" s="32"/>
      <c r="K483" s="59"/>
    </row>
    <row r="484" spans="1:11">
      <c r="A484" s="8"/>
      <c r="B484" s="12">
        <v>2</v>
      </c>
      <c r="C484" s="3" t="s">
        <v>31</v>
      </c>
      <c r="D484" s="42"/>
      <c r="E484" s="43"/>
      <c r="F484" s="4" t="s">
        <v>13</v>
      </c>
      <c r="G484" s="4" t="s">
        <v>12</v>
      </c>
      <c r="H484" s="13">
        <v>250000</v>
      </c>
      <c r="I484" s="12" t="s">
        <v>12</v>
      </c>
      <c r="J484" s="32">
        <f>B484*H484</f>
        <v>500000</v>
      </c>
      <c r="K484" s="59"/>
    </row>
    <row r="485" spans="1:11">
      <c r="A485" s="8"/>
      <c r="B485" s="12"/>
      <c r="C485" s="3"/>
      <c r="D485" s="3"/>
      <c r="E485" s="3"/>
      <c r="F485" s="4"/>
      <c r="G485" s="4"/>
      <c r="H485" s="44"/>
      <c r="I485" s="31"/>
      <c r="J485" s="32"/>
      <c r="K485" s="59"/>
    </row>
    <row r="486" spans="1:11">
      <c r="A486" s="8"/>
      <c r="B486" s="14" t="s">
        <v>14</v>
      </c>
      <c r="C486" s="15"/>
      <c r="D486" s="15"/>
      <c r="E486" s="15"/>
      <c r="F486" s="15"/>
      <c r="G486" s="15"/>
      <c r="H486" s="16"/>
      <c r="I486" s="35" t="s">
        <v>12</v>
      </c>
      <c r="J486" s="36">
        <f>SUM(J479:J484)</f>
        <v>950000</v>
      </c>
      <c r="K486" s="60"/>
    </row>
    <row r="487" spans="1:11" ht="15.75" thickBot="1">
      <c r="A487" s="17"/>
      <c r="B487" s="18" t="s">
        <v>15</v>
      </c>
      <c r="C487" s="19"/>
      <c r="D487" s="18" t="s">
        <v>99</v>
      </c>
      <c r="E487" s="18"/>
      <c r="F487" s="19"/>
      <c r="G487" s="19"/>
      <c r="H487" s="19"/>
      <c r="I487" s="19"/>
      <c r="J487" s="19"/>
      <c r="K487" s="37"/>
    </row>
    <row r="488" spans="1:11" ht="15.75" thickTop="1">
      <c r="A488" s="20"/>
      <c r="B488" s="21"/>
      <c r="C488" s="22"/>
      <c r="D488" s="21"/>
      <c r="E488" s="21"/>
      <c r="F488" s="22"/>
      <c r="G488" s="22"/>
      <c r="H488" s="22"/>
      <c r="I488" s="22"/>
      <c r="J488" s="22"/>
      <c r="K488" s="22"/>
    </row>
    <row r="489" spans="1:11">
      <c r="A489" s="3"/>
      <c r="B489" s="3"/>
      <c r="C489" s="3"/>
      <c r="D489" s="3"/>
      <c r="E489" s="3"/>
      <c r="F489" s="3"/>
      <c r="G489" s="3"/>
      <c r="H489" s="3"/>
      <c r="I489" s="5" t="s">
        <v>65</v>
      </c>
      <c r="J489" s="3"/>
      <c r="K489" s="5"/>
    </row>
    <row r="490" spans="1:11">
      <c r="A490" s="3"/>
      <c r="B490" s="3" t="s">
        <v>16</v>
      </c>
      <c r="C490" s="3"/>
      <c r="D490" s="3"/>
      <c r="E490" s="3"/>
      <c r="F490" s="3"/>
      <c r="G490" s="3"/>
      <c r="H490" s="3"/>
      <c r="I490" s="5" t="s">
        <v>17</v>
      </c>
      <c r="J490" s="4"/>
      <c r="K490" s="4"/>
    </row>
    <row r="491" spans="1:11">
      <c r="A491" s="3"/>
      <c r="B491" s="5" t="s">
        <v>12</v>
      </c>
      <c r="C491" s="48">
        <f>J486</f>
        <v>950000</v>
      </c>
      <c r="D491" s="48"/>
      <c r="E491" s="23"/>
      <c r="F491" s="3"/>
      <c r="G491" s="3"/>
      <c r="H491" s="3"/>
      <c r="I491" s="5" t="s">
        <v>12</v>
      </c>
      <c r="J491" s="38">
        <f>C491</f>
        <v>950000</v>
      </c>
      <c r="K491" s="3"/>
    </row>
    <row r="492" spans="1:1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>
      <c r="A493" s="3"/>
      <c r="B493" s="3" t="s">
        <v>18</v>
      </c>
      <c r="C493" s="3"/>
      <c r="D493" s="3"/>
      <c r="E493" s="3"/>
      <c r="F493" s="3"/>
      <c r="G493" s="3"/>
      <c r="H493" s="3"/>
      <c r="I493" s="5" t="s">
        <v>19</v>
      </c>
      <c r="J493" s="3"/>
      <c r="K493" s="4"/>
    </row>
    <row r="494" spans="1:1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>
      <c r="A497" s="3"/>
      <c r="B497" s="24" t="s">
        <v>32</v>
      </c>
      <c r="C497" s="24"/>
      <c r="D497" s="25"/>
      <c r="E497" s="25"/>
      <c r="F497" s="26"/>
      <c r="G497" s="26"/>
      <c r="H497" s="3"/>
      <c r="I497" s="26" t="s">
        <v>26</v>
      </c>
      <c r="J497" s="25"/>
      <c r="K497" s="25"/>
    </row>
    <row r="498" spans="1:1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</row>
    <row r="500" spans="1:11">
      <c r="A500" s="49" t="s">
        <v>20</v>
      </c>
      <c r="B500" s="49"/>
      <c r="C500" s="49"/>
      <c r="D500" s="49"/>
      <c r="E500" s="49"/>
      <c r="F500" s="49"/>
      <c r="G500" s="49"/>
      <c r="H500" s="49"/>
      <c r="I500" s="49"/>
      <c r="J500" s="49"/>
      <c r="K500" s="49"/>
    </row>
    <row r="501" spans="1:1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>
      <c r="A502" s="3"/>
      <c r="B502" s="3" t="s">
        <v>21</v>
      </c>
      <c r="C502" s="3"/>
      <c r="D502" s="3"/>
      <c r="E502" s="3"/>
      <c r="F502" s="3"/>
      <c r="G502" s="3"/>
      <c r="H502" s="3"/>
      <c r="I502" s="3" t="s">
        <v>22</v>
      </c>
      <c r="J502" s="38">
        <f>(J486)</f>
        <v>950000</v>
      </c>
      <c r="K502" s="23"/>
    </row>
    <row r="503" spans="1:11">
      <c r="A503" s="3"/>
      <c r="B503" s="3" t="s">
        <v>23</v>
      </c>
      <c r="C503" s="3"/>
      <c r="D503" s="3"/>
      <c r="E503" s="3"/>
      <c r="F503" s="3"/>
      <c r="G503" s="3"/>
      <c r="H503" s="3"/>
      <c r="I503" s="3" t="s">
        <v>22</v>
      </c>
      <c r="J503" s="39">
        <f>(J491)</f>
        <v>950000</v>
      </c>
      <c r="K503" s="3"/>
    </row>
    <row r="504" spans="1:11">
      <c r="A504" s="3"/>
      <c r="B504" s="3" t="s">
        <v>24</v>
      </c>
      <c r="C504" s="3"/>
      <c r="D504" s="3"/>
      <c r="E504" s="3"/>
      <c r="F504" s="3"/>
      <c r="G504" s="3"/>
      <c r="H504" s="3"/>
      <c r="I504" s="3" t="s">
        <v>22</v>
      </c>
      <c r="J504" s="23">
        <f>J502-J503</f>
        <v>0</v>
      </c>
      <c r="K504" s="3"/>
    </row>
    <row r="505" spans="1:1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>
      <c r="A506" s="3"/>
      <c r="B506" s="3"/>
      <c r="C506" s="3"/>
      <c r="D506" s="3"/>
      <c r="E506" s="3"/>
      <c r="F506" s="3"/>
      <c r="G506" s="3"/>
      <c r="H506" s="3"/>
      <c r="I506" s="3"/>
      <c r="J506" s="15" t="s">
        <v>25</v>
      </c>
      <c r="K506" s="4"/>
    </row>
    <row r="507" spans="1:11">
      <c r="A507" s="3"/>
      <c r="B507" s="3"/>
      <c r="C507" s="3"/>
      <c r="D507" s="3"/>
      <c r="E507" s="3"/>
      <c r="F507" s="3"/>
      <c r="G507" s="3"/>
      <c r="H507" s="3"/>
      <c r="I507" s="3"/>
      <c r="J507" s="5"/>
      <c r="K507" s="3"/>
    </row>
    <row r="508" spans="1:11">
      <c r="A508" s="3"/>
      <c r="B508" s="3"/>
      <c r="C508" s="3"/>
      <c r="D508" s="3"/>
      <c r="E508" s="3"/>
      <c r="F508" s="3"/>
      <c r="G508" s="3"/>
      <c r="H508" s="3"/>
      <c r="I508" s="3"/>
      <c r="J508" s="5"/>
      <c r="K508" s="3"/>
    </row>
    <row r="509" spans="1:11">
      <c r="A509" s="3"/>
      <c r="B509" s="3"/>
      <c r="C509" s="3"/>
      <c r="D509" s="3"/>
      <c r="E509" s="3"/>
      <c r="F509" s="3"/>
      <c r="G509" s="3"/>
      <c r="H509" s="3"/>
      <c r="I509" s="3"/>
      <c r="J509" s="5"/>
      <c r="K509" s="3"/>
    </row>
    <row r="510" spans="1:11">
      <c r="A510" s="3"/>
      <c r="B510" s="3"/>
      <c r="C510" s="3"/>
      <c r="D510" s="3"/>
      <c r="E510" s="3"/>
      <c r="F510" s="3"/>
      <c r="G510" s="3"/>
      <c r="H510" s="3"/>
      <c r="I510" s="3"/>
      <c r="J510" s="24" t="s">
        <v>26</v>
      </c>
      <c r="K510" s="3"/>
    </row>
    <row r="511" spans="1: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</row>
    <row r="513" spans="1:1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>
      <c r="A519" s="50" t="s">
        <v>0</v>
      </c>
      <c r="B519" s="50"/>
      <c r="C519" s="50"/>
      <c r="D519" s="50"/>
      <c r="E519" s="50"/>
      <c r="F519" s="50"/>
      <c r="G519" s="50"/>
      <c r="H519" s="50"/>
      <c r="I519" s="50"/>
      <c r="J519" s="50"/>
      <c r="K519" s="50"/>
    </row>
    <row r="520" spans="1:11">
      <c r="A520" s="52" t="s">
        <v>1</v>
      </c>
      <c r="B520" s="52"/>
      <c r="C520" s="52"/>
      <c r="D520" s="52"/>
      <c r="E520" s="52"/>
      <c r="F520" s="52"/>
      <c r="G520" s="52"/>
      <c r="H520" s="52"/>
      <c r="I520" s="52"/>
      <c r="J520" s="52"/>
      <c r="K520" s="52"/>
    </row>
    <row r="521" spans="1:1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>
      <c r="A522" s="51" t="s">
        <v>2</v>
      </c>
      <c r="B522" s="51"/>
      <c r="C522" s="51"/>
      <c r="D522" s="51"/>
      <c r="E522" s="51"/>
      <c r="F522" s="51"/>
      <c r="G522" s="51"/>
      <c r="H522" s="51"/>
      <c r="I522" s="51"/>
      <c r="J522" s="51"/>
      <c r="K522" s="51"/>
    </row>
    <row r="523" spans="1:1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>
      <c r="A524" s="3" t="s">
        <v>3</v>
      </c>
      <c r="B524" s="3"/>
      <c r="C524" s="3"/>
      <c r="D524" s="3"/>
      <c r="E524" s="4" t="s">
        <v>4</v>
      </c>
      <c r="F524" s="40" t="s">
        <v>67</v>
      </c>
      <c r="G524" s="3"/>
      <c r="H524" s="3"/>
      <c r="I524" s="3"/>
      <c r="J524" s="3"/>
      <c r="K524" s="3"/>
    </row>
    <row r="525" spans="1:11">
      <c r="A525" s="5" t="s">
        <v>5</v>
      </c>
      <c r="B525" s="5"/>
      <c r="C525" s="5"/>
      <c r="D525" s="5"/>
      <c r="E525" s="4" t="s">
        <v>4</v>
      </c>
      <c r="F525" s="45" t="s">
        <v>64</v>
      </c>
      <c r="G525" s="3"/>
      <c r="H525" s="3"/>
      <c r="I525" s="3"/>
      <c r="J525" s="3"/>
      <c r="K525" s="3"/>
    </row>
    <row r="526" spans="1:11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thickTop="1">
      <c r="A527" s="6" t="s">
        <v>6</v>
      </c>
      <c r="B527" s="53" t="s">
        <v>7</v>
      </c>
      <c r="C527" s="54"/>
      <c r="D527" s="54"/>
      <c r="E527" s="54"/>
      <c r="F527" s="54"/>
      <c r="G527" s="54"/>
      <c r="H527" s="55"/>
      <c r="I527" s="56" t="s">
        <v>8</v>
      </c>
      <c r="J527" s="57"/>
      <c r="K527" s="7" t="s">
        <v>9</v>
      </c>
    </row>
    <row r="528" spans="1:11">
      <c r="A528" s="8"/>
      <c r="B528" s="9"/>
      <c r="C528" s="10"/>
      <c r="D528" s="10"/>
      <c r="E528" s="10"/>
      <c r="F528" s="10"/>
      <c r="G528" s="10"/>
      <c r="H528" s="11"/>
      <c r="I528" s="29"/>
      <c r="J528" s="30"/>
      <c r="K528" s="58"/>
    </row>
    <row r="529" spans="1:11">
      <c r="A529" s="8" t="s">
        <v>10</v>
      </c>
      <c r="B529" s="61" t="s">
        <v>27</v>
      </c>
      <c r="C529" s="62"/>
      <c r="D529" s="62"/>
      <c r="E529" s="62"/>
      <c r="F529" s="62"/>
      <c r="G529" s="62"/>
      <c r="H529" s="63"/>
      <c r="I529" s="31"/>
      <c r="J529" s="32"/>
      <c r="K529" s="59"/>
    </row>
    <row r="530" spans="1:11">
      <c r="A530" s="8"/>
      <c r="B530" s="12" t="s">
        <v>11</v>
      </c>
      <c r="C530" s="3" t="s">
        <v>47</v>
      </c>
      <c r="D530" s="3"/>
      <c r="E530" s="3"/>
      <c r="F530" s="4"/>
      <c r="G530" s="4" t="s">
        <v>12</v>
      </c>
      <c r="H530" s="13">
        <v>0</v>
      </c>
      <c r="I530" s="31" t="s">
        <v>12</v>
      </c>
      <c r="J530" s="32">
        <f>(H530)</f>
        <v>0</v>
      </c>
      <c r="K530" s="59"/>
    </row>
    <row r="531" spans="1:11">
      <c r="A531" s="8"/>
      <c r="B531" s="12" t="s">
        <v>11</v>
      </c>
      <c r="C531" s="3" t="s">
        <v>48</v>
      </c>
      <c r="D531" s="3"/>
      <c r="E531" s="3"/>
      <c r="F531" s="4"/>
      <c r="G531" s="4" t="s">
        <v>12</v>
      </c>
      <c r="H531" s="13">
        <v>0</v>
      </c>
      <c r="I531" s="31" t="s">
        <v>12</v>
      </c>
      <c r="J531" s="32">
        <f>(H531)</f>
        <v>0</v>
      </c>
      <c r="K531" s="59"/>
    </row>
    <row r="532" spans="1:11">
      <c r="A532" s="8" t="s">
        <v>28</v>
      </c>
      <c r="B532" s="61" t="s">
        <v>41</v>
      </c>
      <c r="C532" s="62"/>
      <c r="D532" s="62"/>
      <c r="E532" s="62"/>
      <c r="F532" s="62"/>
      <c r="G532" s="62"/>
      <c r="H532" s="63"/>
      <c r="I532" s="33"/>
      <c r="J532" s="34"/>
      <c r="K532" s="59"/>
    </row>
    <row r="533" spans="1:11">
      <c r="A533" s="8"/>
      <c r="B533" s="12">
        <v>3</v>
      </c>
      <c r="C533" s="5" t="s">
        <v>29</v>
      </c>
      <c r="D533" s="5"/>
      <c r="E533" s="5"/>
      <c r="F533" s="4" t="s">
        <v>13</v>
      </c>
      <c r="G533" s="4" t="s">
        <v>12</v>
      </c>
      <c r="H533" s="13">
        <v>150000</v>
      </c>
      <c r="I533" s="12" t="s">
        <v>12</v>
      </c>
      <c r="J533" s="32">
        <f>B533*H533</f>
        <v>450000</v>
      </c>
      <c r="K533" s="59"/>
    </row>
    <row r="534" spans="1:11">
      <c r="A534" s="41" t="s">
        <v>30</v>
      </c>
      <c r="B534" s="61" t="s">
        <v>35</v>
      </c>
      <c r="C534" s="62"/>
      <c r="D534" s="62"/>
      <c r="E534" s="62"/>
      <c r="F534" s="62"/>
      <c r="G534" s="62"/>
      <c r="H534" s="63"/>
      <c r="I534" s="33"/>
      <c r="J534" s="32"/>
      <c r="K534" s="59"/>
    </row>
    <row r="535" spans="1:11">
      <c r="A535" s="8"/>
      <c r="B535" s="12">
        <v>2</v>
      </c>
      <c r="C535" s="3" t="s">
        <v>31</v>
      </c>
      <c r="D535" s="42"/>
      <c r="E535" s="43"/>
      <c r="F535" s="4" t="s">
        <v>13</v>
      </c>
      <c r="G535" s="4" t="s">
        <v>12</v>
      </c>
      <c r="H535" s="13">
        <v>250000</v>
      </c>
      <c r="I535" s="12" t="s">
        <v>12</v>
      </c>
      <c r="J535" s="32">
        <f>B535*H535</f>
        <v>500000</v>
      </c>
      <c r="K535" s="59"/>
    </row>
    <row r="536" spans="1:11">
      <c r="A536" s="8"/>
      <c r="B536" s="12"/>
      <c r="C536" s="3"/>
      <c r="D536" s="3"/>
      <c r="E536" s="3"/>
      <c r="F536" s="4"/>
      <c r="G536" s="4"/>
      <c r="H536" s="44"/>
      <c r="I536" s="31"/>
      <c r="J536" s="32"/>
      <c r="K536" s="59"/>
    </row>
    <row r="537" spans="1:11">
      <c r="A537" s="8"/>
      <c r="B537" s="14" t="s">
        <v>14</v>
      </c>
      <c r="C537" s="15"/>
      <c r="D537" s="15"/>
      <c r="E537" s="15"/>
      <c r="F537" s="15"/>
      <c r="G537" s="15"/>
      <c r="H537" s="16"/>
      <c r="I537" s="35" t="s">
        <v>12</v>
      </c>
      <c r="J537" s="36">
        <f>SUM(J530:J535)</f>
        <v>950000</v>
      </c>
      <c r="K537" s="60"/>
    </row>
    <row r="538" spans="1:11" ht="15.75" thickBot="1">
      <c r="A538" s="17"/>
      <c r="B538" s="18" t="s">
        <v>15</v>
      </c>
      <c r="C538" s="19"/>
      <c r="D538" s="18" t="s">
        <v>99</v>
      </c>
      <c r="E538" s="18"/>
      <c r="F538" s="19"/>
      <c r="G538" s="19"/>
      <c r="H538" s="19"/>
      <c r="I538" s="19"/>
      <c r="J538" s="19"/>
      <c r="K538" s="37"/>
    </row>
    <row r="539" spans="1:11" ht="15.75" thickTop="1">
      <c r="A539" s="20"/>
      <c r="B539" s="21"/>
      <c r="C539" s="22"/>
      <c r="D539" s="21"/>
      <c r="E539" s="21"/>
      <c r="F539" s="22"/>
      <c r="G539" s="22"/>
      <c r="H539" s="22"/>
      <c r="I539" s="22"/>
      <c r="J539" s="22"/>
      <c r="K539" s="22"/>
    </row>
    <row r="540" spans="1:11">
      <c r="A540" s="3"/>
      <c r="B540" s="3"/>
      <c r="C540" s="3"/>
      <c r="D540" s="3"/>
      <c r="E540" s="3"/>
      <c r="F540" s="3"/>
      <c r="G540" s="3"/>
      <c r="H540" s="3"/>
      <c r="I540" s="5" t="s">
        <v>65</v>
      </c>
      <c r="J540" s="3"/>
      <c r="K540" s="5"/>
    </row>
    <row r="541" spans="1:11">
      <c r="A541" s="3"/>
      <c r="B541" s="3" t="s">
        <v>16</v>
      </c>
      <c r="C541" s="3"/>
      <c r="D541" s="3"/>
      <c r="E541" s="3"/>
      <c r="F541" s="3"/>
      <c r="G541" s="3"/>
      <c r="H541" s="3"/>
      <c r="I541" s="5" t="s">
        <v>17</v>
      </c>
      <c r="J541" s="4"/>
      <c r="K541" s="4"/>
    </row>
    <row r="542" spans="1:11">
      <c r="A542" s="3"/>
      <c r="B542" s="5" t="s">
        <v>12</v>
      </c>
      <c r="C542" s="48">
        <f>J537</f>
        <v>950000</v>
      </c>
      <c r="D542" s="48"/>
      <c r="E542" s="23"/>
      <c r="F542" s="3"/>
      <c r="G542" s="3"/>
      <c r="H542" s="3"/>
      <c r="I542" s="5" t="s">
        <v>12</v>
      </c>
      <c r="J542" s="38">
        <f>C542</f>
        <v>950000</v>
      </c>
      <c r="K542" s="3"/>
    </row>
    <row r="543" spans="1:1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>
      <c r="A544" s="3"/>
      <c r="B544" s="3" t="s">
        <v>18</v>
      </c>
      <c r="C544" s="3"/>
      <c r="D544" s="3"/>
      <c r="E544" s="3"/>
      <c r="F544" s="3"/>
      <c r="G544" s="3"/>
      <c r="H544" s="3"/>
      <c r="I544" s="5" t="s">
        <v>19</v>
      </c>
      <c r="J544" s="3"/>
      <c r="K544" s="4"/>
    </row>
    <row r="545" spans="1:1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>
      <c r="A548" s="3"/>
      <c r="B548" s="24" t="s">
        <v>32</v>
      </c>
      <c r="C548" s="24"/>
      <c r="D548" s="25"/>
      <c r="E548" s="25"/>
      <c r="F548" s="26"/>
      <c r="G548" s="26"/>
      <c r="H548" s="3"/>
      <c r="I548" s="26" t="s">
        <v>60</v>
      </c>
      <c r="J548" s="25"/>
      <c r="K548" s="25"/>
    </row>
    <row r="549" spans="1:1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</row>
    <row r="551" spans="1:11">
      <c r="A551" s="49" t="s">
        <v>20</v>
      </c>
      <c r="B551" s="49"/>
      <c r="C551" s="49"/>
      <c r="D551" s="49"/>
      <c r="E551" s="49"/>
      <c r="F551" s="49"/>
      <c r="G551" s="49"/>
      <c r="H551" s="49"/>
      <c r="I551" s="49"/>
      <c r="J551" s="49"/>
      <c r="K551" s="49"/>
    </row>
    <row r="552" spans="1:1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>
      <c r="A553" s="3"/>
      <c r="B553" s="3" t="s">
        <v>21</v>
      </c>
      <c r="C553" s="3"/>
      <c r="D553" s="3"/>
      <c r="E553" s="3"/>
      <c r="F553" s="3"/>
      <c r="G553" s="3"/>
      <c r="H553" s="3"/>
      <c r="I553" s="3" t="s">
        <v>22</v>
      </c>
      <c r="J553" s="38">
        <f>(J537)</f>
        <v>950000</v>
      </c>
      <c r="K553" s="23"/>
    </row>
    <row r="554" spans="1:11">
      <c r="A554" s="3"/>
      <c r="B554" s="3" t="s">
        <v>23</v>
      </c>
      <c r="C554" s="3"/>
      <c r="D554" s="3"/>
      <c r="E554" s="3"/>
      <c r="F554" s="3"/>
      <c r="G554" s="3"/>
      <c r="H554" s="3"/>
      <c r="I554" s="3" t="s">
        <v>22</v>
      </c>
      <c r="J554" s="39">
        <f>(J542)</f>
        <v>950000</v>
      </c>
      <c r="K554" s="3"/>
    </row>
    <row r="555" spans="1:11">
      <c r="A555" s="3"/>
      <c r="B555" s="3" t="s">
        <v>24</v>
      </c>
      <c r="C555" s="3"/>
      <c r="D555" s="3"/>
      <c r="E555" s="3"/>
      <c r="F555" s="3"/>
      <c r="G555" s="3"/>
      <c r="H555" s="3"/>
      <c r="I555" s="3" t="s">
        <v>22</v>
      </c>
      <c r="J555" s="23">
        <f>J553-J554</f>
        <v>0</v>
      </c>
      <c r="K555" s="3"/>
    </row>
    <row r="556" spans="1:1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>
      <c r="A557" s="3"/>
      <c r="B557" s="3"/>
      <c r="C557" s="3"/>
      <c r="D557" s="3"/>
      <c r="E557" s="3"/>
      <c r="F557" s="3"/>
      <c r="G557" s="3"/>
      <c r="H557" s="3"/>
      <c r="I557" s="3"/>
      <c r="J557" s="15" t="s">
        <v>25</v>
      </c>
      <c r="K557" s="4"/>
    </row>
    <row r="558" spans="1:11">
      <c r="A558" s="3"/>
      <c r="B558" s="3"/>
      <c r="C558" s="3"/>
      <c r="D558" s="3"/>
      <c r="E558" s="3"/>
      <c r="F558" s="3"/>
      <c r="G558" s="3"/>
      <c r="H558" s="3"/>
      <c r="I558" s="3"/>
      <c r="J558" s="5"/>
      <c r="K558" s="3"/>
    </row>
    <row r="559" spans="1:11">
      <c r="A559" s="3"/>
      <c r="B559" s="3"/>
      <c r="C559" s="3"/>
      <c r="D559" s="3"/>
      <c r="E559" s="3"/>
      <c r="F559" s="3"/>
      <c r="G559" s="3"/>
      <c r="H559" s="3"/>
      <c r="I559" s="3"/>
      <c r="J559" s="5"/>
      <c r="K559" s="3"/>
    </row>
    <row r="560" spans="1:11">
      <c r="A560" s="3"/>
      <c r="B560" s="3"/>
      <c r="C560" s="3"/>
      <c r="D560" s="3"/>
      <c r="E560" s="3"/>
      <c r="F560" s="3"/>
      <c r="G560" s="3"/>
      <c r="H560" s="3"/>
      <c r="I560" s="3"/>
      <c r="J560" s="5"/>
      <c r="K560" s="3"/>
    </row>
    <row r="561" spans="1:11">
      <c r="A561" s="3"/>
      <c r="B561" s="3"/>
      <c r="C561" s="3"/>
      <c r="D561" s="3"/>
      <c r="E561" s="3"/>
      <c r="F561" s="3"/>
      <c r="G561" s="3"/>
      <c r="H561" s="3"/>
      <c r="I561" s="3"/>
      <c r="J561" s="24" t="s">
        <v>26</v>
      </c>
      <c r="K561" s="3"/>
    </row>
    <row r="562" spans="1:1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</row>
    <row r="564" spans="1:1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>
      <c r="A570" s="50" t="s">
        <v>0</v>
      </c>
      <c r="B570" s="50"/>
      <c r="C570" s="50"/>
      <c r="D570" s="50"/>
      <c r="E570" s="50"/>
      <c r="F570" s="50"/>
      <c r="G570" s="50"/>
      <c r="H570" s="50"/>
      <c r="I570" s="50"/>
      <c r="J570" s="50"/>
      <c r="K570" s="50"/>
    </row>
    <row r="571" spans="1:11">
      <c r="A571" s="52" t="s">
        <v>1</v>
      </c>
      <c r="B571" s="52"/>
      <c r="C571" s="52"/>
      <c r="D571" s="52"/>
      <c r="E571" s="52"/>
      <c r="F571" s="52"/>
      <c r="G571" s="52"/>
      <c r="H571" s="52"/>
      <c r="I571" s="52"/>
      <c r="J571" s="52"/>
      <c r="K571" s="52"/>
    </row>
    <row r="572" spans="1:1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>
      <c r="A573" s="51" t="s">
        <v>2</v>
      </c>
      <c r="B573" s="51"/>
      <c r="C573" s="51"/>
      <c r="D573" s="51"/>
      <c r="E573" s="51"/>
      <c r="F573" s="51"/>
      <c r="G573" s="51"/>
      <c r="H573" s="51"/>
      <c r="I573" s="51"/>
      <c r="J573" s="51"/>
      <c r="K573" s="51"/>
    </row>
    <row r="574" spans="1:1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>
      <c r="A575" s="3" t="s">
        <v>3</v>
      </c>
      <c r="B575" s="3"/>
      <c r="C575" s="3"/>
      <c r="D575" s="3"/>
      <c r="E575" s="4" t="s">
        <v>4</v>
      </c>
      <c r="F575" s="40" t="s">
        <v>68</v>
      </c>
      <c r="G575" s="3"/>
      <c r="H575" s="3"/>
      <c r="I575" s="3"/>
      <c r="J575" s="3"/>
      <c r="K575" s="3"/>
    </row>
    <row r="576" spans="1:11">
      <c r="A576" s="5" t="s">
        <v>5</v>
      </c>
      <c r="B576" s="5"/>
      <c r="C576" s="5"/>
      <c r="D576" s="5"/>
      <c r="E576" s="4" t="s">
        <v>4</v>
      </c>
      <c r="F576" s="45" t="s">
        <v>64</v>
      </c>
      <c r="G576" s="3"/>
      <c r="H576" s="3"/>
      <c r="I576" s="3"/>
      <c r="J576" s="3"/>
      <c r="K576" s="3"/>
    </row>
    <row r="577" spans="1:11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thickTop="1">
      <c r="A578" s="6" t="s">
        <v>6</v>
      </c>
      <c r="B578" s="53" t="s">
        <v>7</v>
      </c>
      <c r="C578" s="54"/>
      <c r="D578" s="54"/>
      <c r="E578" s="54"/>
      <c r="F578" s="54"/>
      <c r="G578" s="54"/>
      <c r="H578" s="55"/>
      <c r="I578" s="56" t="s">
        <v>8</v>
      </c>
      <c r="J578" s="57"/>
      <c r="K578" s="7" t="s">
        <v>9</v>
      </c>
    </row>
    <row r="579" spans="1:11">
      <c r="A579" s="8"/>
      <c r="B579" s="9"/>
      <c r="C579" s="10"/>
      <c r="D579" s="10"/>
      <c r="E579" s="10"/>
      <c r="F579" s="10"/>
      <c r="G579" s="10"/>
      <c r="H579" s="11"/>
      <c r="I579" s="29"/>
      <c r="J579" s="30"/>
      <c r="K579" s="58"/>
    </row>
    <row r="580" spans="1:11">
      <c r="A580" s="8" t="s">
        <v>10</v>
      </c>
      <c r="B580" s="61" t="s">
        <v>27</v>
      </c>
      <c r="C580" s="62"/>
      <c r="D580" s="62"/>
      <c r="E580" s="62"/>
      <c r="F580" s="62"/>
      <c r="G580" s="62"/>
      <c r="H580" s="63"/>
      <c r="I580" s="31"/>
      <c r="J580" s="32"/>
      <c r="K580" s="59"/>
    </row>
    <row r="581" spans="1:11">
      <c r="A581" s="8"/>
      <c r="B581" s="12" t="s">
        <v>11</v>
      </c>
      <c r="C581" s="3" t="s">
        <v>47</v>
      </c>
      <c r="D581" s="3"/>
      <c r="E581" s="3"/>
      <c r="F581" s="4"/>
      <c r="G581" s="4" t="s">
        <v>12</v>
      </c>
      <c r="H581" s="13">
        <v>250000</v>
      </c>
      <c r="I581" s="31" t="s">
        <v>12</v>
      </c>
      <c r="J581" s="32">
        <f>(H581)</f>
        <v>250000</v>
      </c>
      <c r="K581" s="59"/>
    </row>
    <row r="582" spans="1:11">
      <c r="A582" s="8"/>
      <c r="B582" s="12" t="s">
        <v>11</v>
      </c>
      <c r="C582" s="3" t="s">
        <v>48</v>
      </c>
      <c r="D582" s="3"/>
      <c r="E582" s="3"/>
      <c r="F582" s="4"/>
      <c r="G582" s="4" t="s">
        <v>12</v>
      </c>
      <c r="H582" s="13">
        <v>250000</v>
      </c>
      <c r="I582" s="31" t="s">
        <v>12</v>
      </c>
      <c r="J582" s="32">
        <f>(H582)</f>
        <v>250000</v>
      </c>
      <c r="K582" s="59"/>
    </row>
    <row r="583" spans="1:11">
      <c r="A583" s="8" t="s">
        <v>28</v>
      </c>
      <c r="B583" s="61" t="s">
        <v>96</v>
      </c>
      <c r="C583" s="62"/>
      <c r="D583" s="62"/>
      <c r="E583" s="62"/>
      <c r="F583" s="62"/>
      <c r="G583" s="62"/>
      <c r="H583" s="63"/>
      <c r="I583" s="33"/>
      <c r="J583" s="34"/>
      <c r="K583" s="59"/>
    </row>
    <row r="584" spans="1:11">
      <c r="A584" s="8"/>
      <c r="B584" s="12">
        <v>3</v>
      </c>
      <c r="C584" s="5" t="s">
        <v>29</v>
      </c>
      <c r="D584" s="5"/>
      <c r="E584" s="5"/>
      <c r="F584" s="4" t="s">
        <v>13</v>
      </c>
      <c r="G584" s="4" t="s">
        <v>12</v>
      </c>
      <c r="H584" s="13">
        <v>150000</v>
      </c>
      <c r="I584" s="12" t="s">
        <v>12</v>
      </c>
      <c r="J584" s="32">
        <f>B584*H584</f>
        <v>450000</v>
      </c>
      <c r="K584" s="59"/>
    </row>
    <row r="585" spans="1:11">
      <c r="A585" s="41" t="s">
        <v>30</v>
      </c>
      <c r="B585" s="61" t="s">
        <v>35</v>
      </c>
      <c r="C585" s="62"/>
      <c r="D585" s="62"/>
      <c r="E585" s="62"/>
      <c r="F585" s="62"/>
      <c r="G585" s="62"/>
      <c r="H585" s="63"/>
      <c r="I585" s="33"/>
      <c r="J585" s="32"/>
      <c r="K585" s="59"/>
    </row>
    <row r="586" spans="1:11">
      <c r="A586" s="8"/>
      <c r="B586" s="12">
        <v>1</v>
      </c>
      <c r="C586" s="3" t="s">
        <v>31</v>
      </c>
      <c r="D586" s="42"/>
      <c r="E586" s="43"/>
      <c r="F586" s="4" t="s">
        <v>13</v>
      </c>
      <c r="G586" s="4" t="s">
        <v>12</v>
      </c>
      <c r="H586" s="13">
        <v>200000</v>
      </c>
      <c r="I586" s="12" t="s">
        <v>12</v>
      </c>
      <c r="J586" s="32">
        <f>B586*H586</f>
        <v>200000</v>
      </c>
      <c r="K586" s="59"/>
    </row>
    <row r="587" spans="1:11">
      <c r="A587" s="8"/>
      <c r="B587" s="12">
        <v>1</v>
      </c>
      <c r="C587" s="3" t="s">
        <v>70</v>
      </c>
      <c r="D587" s="3"/>
      <c r="E587" s="3"/>
      <c r="F587" s="4" t="s">
        <v>13</v>
      </c>
      <c r="G587" s="4" t="s">
        <v>12</v>
      </c>
      <c r="H587" s="13">
        <v>60000</v>
      </c>
      <c r="I587" s="12" t="s">
        <v>12</v>
      </c>
      <c r="J587" s="32">
        <f>B587*H587</f>
        <v>60000</v>
      </c>
      <c r="K587" s="59"/>
    </row>
    <row r="588" spans="1:11">
      <c r="A588" s="8"/>
      <c r="B588" s="14" t="s">
        <v>14</v>
      </c>
      <c r="C588" s="15"/>
      <c r="D588" s="15"/>
      <c r="E588" s="15"/>
      <c r="F588" s="15"/>
      <c r="G588" s="15"/>
      <c r="H588" s="16"/>
      <c r="I588" s="35" t="s">
        <v>12</v>
      </c>
      <c r="J588" s="36">
        <f>SUM(J581:J587)</f>
        <v>1210000</v>
      </c>
      <c r="K588" s="60"/>
    </row>
    <row r="589" spans="1:11" ht="15.75" thickBot="1">
      <c r="A589" s="17"/>
      <c r="B589" s="18" t="s">
        <v>15</v>
      </c>
      <c r="C589" s="19"/>
      <c r="D589" s="18" t="s">
        <v>100</v>
      </c>
      <c r="E589" s="18"/>
      <c r="F589" s="19"/>
      <c r="G589" s="19"/>
      <c r="H589" s="19"/>
      <c r="I589" s="19"/>
      <c r="J589" s="19"/>
      <c r="K589" s="37"/>
    </row>
    <row r="590" spans="1:11" ht="15.75" thickTop="1">
      <c r="A590" s="20"/>
      <c r="B590" s="21"/>
      <c r="C590" s="22"/>
      <c r="D590" s="21"/>
      <c r="E590" s="21"/>
      <c r="F590" s="22"/>
      <c r="G590" s="22"/>
      <c r="H590" s="22"/>
      <c r="I590" s="22"/>
      <c r="J590" s="22"/>
      <c r="K590" s="22"/>
    </row>
    <row r="591" spans="1:11">
      <c r="A591" s="3"/>
      <c r="B591" s="3"/>
      <c r="C591" s="3"/>
      <c r="D591" s="3"/>
      <c r="E591" s="3"/>
      <c r="F591" s="3"/>
      <c r="G591" s="3"/>
      <c r="H591" s="3"/>
      <c r="I591" s="5" t="s">
        <v>65</v>
      </c>
      <c r="J591" s="3"/>
      <c r="K591" s="5"/>
    </row>
    <row r="592" spans="1:11">
      <c r="A592" s="3"/>
      <c r="B592" s="3" t="s">
        <v>16</v>
      </c>
      <c r="C592" s="3"/>
      <c r="D592" s="3"/>
      <c r="E592" s="3"/>
      <c r="F592" s="3"/>
      <c r="G592" s="3"/>
      <c r="H592" s="3"/>
      <c r="I592" s="5" t="s">
        <v>17</v>
      </c>
      <c r="J592" s="4"/>
      <c r="K592" s="4"/>
    </row>
    <row r="593" spans="1:11">
      <c r="A593" s="3"/>
      <c r="B593" s="5" t="s">
        <v>12</v>
      </c>
      <c r="C593" s="48">
        <f>J588</f>
        <v>1210000</v>
      </c>
      <c r="D593" s="48"/>
      <c r="E593" s="23"/>
      <c r="F593" s="3"/>
      <c r="G593" s="3"/>
      <c r="H593" s="3"/>
      <c r="I593" s="5" t="s">
        <v>12</v>
      </c>
      <c r="J593" s="38">
        <f>C593</f>
        <v>1210000</v>
      </c>
      <c r="K593" s="3"/>
    </row>
    <row r="594" spans="1:1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>
      <c r="A595" s="3"/>
      <c r="B595" s="3" t="s">
        <v>18</v>
      </c>
      <c r="C595" s="3"/>
      <c r="D595" s="3"/>
      <c r="E595" s="3"/>
      <c r="F595" s="3"/>
      <c r="G595" s="3"/>
      <c r="H595" s="3"/>
      <c r="I595" s="5" t="s">
        <v>19</v>
      </c>
      <c r="J595" s="3"/>
      <c r="K595" s="4"/>
    </row>
    <row r="596" spans="1:1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>
      <c r="A599" s="3"/>
      <c r="B599" s="24" t="s">
        <v>32</v>
      </c>
      <c r="C599" s="24"/>
      <c r="D599" s="25"/>
      <c r="E599" s="25"/>
      <c r="F599" s="26"/>
      <c r="G599" s="26"/>
      <c r="H599" s="3"/>
      <c r="I599" s="26" t="s">
        <v>69</v>
      </c>
      <c r="J599" s="25"/>
      <c r="K599" s="25"/>
    </row>
    <row r="600" spans="1:1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</row>
    <row r="602" spans="1:11">
      <c r="A602" s="49" t="s">
        <v>20</v>
      </c>
      <c r="B602" s="49"/>
      <c r="C602" s="49"/>
      <c r="D602" s="49"/>
      <c r="E602" s="49"/>
      <c r="F602" s="49"/>
      <c r="G602" s="49"/>
      <c r="H602" s="49"/>
      <c r="I602" s="49"/>
      <c r="J602" s="49"/>
      <c r="K602" s="49"/>
    </row>
    <row r="603" spans="1:1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>
      <c r="A604" s="3"/>
      <c r="B604" s="3" t="s">
        <v>21</v>
      </c>
      <c r="C604" s="3"/>
      <c r="D604" s="3"/>
      <c r="E604" s="3"/>
      <c r="F604" s="3"/>
      <c r="G604" s="3"/>
      <c r="H604" s="3"/>
      <c r="I604" s="3" t="s">
        <v>22</v>
      </c>
      <c r="J604" s="38">
        <f>(J588)</f>
        <v>1210000</v>
      </c>
      <c r="K604" s="23"/>
    </row>
    <row r="605" spans="1:11">
      <c r="A605" s="3"/>
      <c r="B605" s="3" t="s">
        <v>23</v>
      </c>
      <c r="C605" s="3"/>
      <c r="D605" s="3"/>
      <c r="E605" s="3"/>
      <c r="F605" s="3"/>
      <c r="G605" s="3"/>
      <c r="H605" s="3"/>
      <c r="I605" s="3" t="s">
        <v>22</v>
      </c>
      <c r="J605" s="39">
        <f>(J593)</f>
        <v>1210000</v>
      </c>
      <c r="K605" s="3"/>
    </row>
    <row r="606" spans="1:11">
      <c r="A606" s="3"/>
      <c r="B606" s="3" t="s">
        <v>24</v>
      </c>
      <c r="C606" s="3"/>
      <c r="D606" s="3"/>
      <c r="E606" s="3"/>
      <c r="F606" s="3"/>
      <c r="G606" s="3"/>
      <c r="H606" s="3"/>
      <c r="I606" s="3" t="s">
        <v>22</v>
      </c>
      <c r="J606" s="23">
        <f>J604-J605</f>
        <v>0</v>
      </c>
      <c r="K606" s="3"/>
    </row>
    <row r="607" spans="1:1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>
      <c r="A608" s="3"/>
      <c r="B608" s="3"/>
      <c r="C608" s="3"/>
      <c r="D608" s="3"/>
      <c r="E608" s="3"/>
      <c r="F608" s="3"/>
      <c r="G608" s="3"/>
      <c r="H608" s="3"/>
      <c r="I608" s="3"/>
      <c r="J608" s="15" t="s">
        <v>25</v>
      </c>
      <c r="K608" s="4"/>
    </row>
    <row r="609" spans="1:11">
      <c r="A609" s="3"/>
      <c r="B609" s="3"/>
      <c r="C609" s="3"/>
      <c r="D609" s="3"/>
      <c r="E609" s="3"/>
      <c r="F609" s="3"/>
      <c r="G609" s="3"/>
      <c r="H609" s="3"/>
      <c r="I609" s="3"/>
      <c r="J609" s="5"/>
      <c r="K609" s="3"/>
    </row>
    <row r="610" spans="1:11">
      <c r="A610" s="3"/>
      <c r="B610" s="3"/>
      <c r="C610" s="3"/>
      <c r="D610" s="3"/>
      <c r="E610" s="3"/>
      <c r="F610" s="3"/>
      <c r="G610" s="3"/>
      <c r="H610" s="3"/>
      <c r="I610" s="3"/>
      <c r="J610" s="5"/>
      <c r="K610" s="3"/>
    </row>
    <row r="611" spans="1:11">
      <c r="A611" s="3"/>
      <c r="B611" s="3"/>
      <c r="C611" s="3"/>
      <c r="D611" s="3"/>
      <c r="E611" s="3"/>
      <c r="F611" s="3"/>
      <c r="G611" s="3"/>
      <c r="H611" s="3"/>
      <c r="I611" s="3"/>
      <c r="J611" s="5"/>
      <c r="K611" s="3"/>
    </row>
    <row r="612" spans="1:11">
      <c r="A612" s="3"/>
      <c r="B612" s="3"/>
      <c r="C612" s="3"/>
      <c r="D612" s="3"/>
      <c r="E612" s="3"/>
      <c r="F612" s="3"/>
      <c r="G612" s="3"/>
      <c r="H612" s="3"/>
      <c r="I612" s="3"/>
      <c r="J612" s="24" t="s">
        <v>26</v>
      </c>
      <c r="K612" s="3"/>
    </row>
    <row r="613" spans="1:1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</row>
    <row r="615" spans="1:1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>
      <c r="A621" s="50" t="s">
        <v>0</v>
      </c>
      <c r="B621" s="50"/>
      <c r="C621" s="50"/>
      <c r="D621" s="50"/>
      <c r="E621" s="50"/>
      <c r="F621" s="50"/>
      <c r="G621" s="50"/>
      <c r="H621" s="50"/>
      <c r="I621" s="50"/>
      <c r="J621" s="50"/>
      <c r="K621" s="50"/>
    </row>
    <row r="622" spans="1:11">
      <c r="A622" s="52" t="s">
        <v>1</v>
      </c>
      <c r="B622" s="52"/>
      <c r="C622" s="52"/>
      <c r="D622" s="52"/>
      <c r="E622" s="52"/>
      <c r="F622" s="52"/>
      <c r="G622" s="52"/>
      <c r="H622" s="52"/>
      <c r="I622" s="52"/>
      <c r="J622" s="52"/>
      <c r="K622" s="52"/>
    </row>
    <row r="623" spans="1:1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>
      <c r="A624" s="51" t="s">
        <v>2</v>
      </c>
      <c r="B624" s="51"/>
      <c r="C624" s="51"/>
      <c r="D624" s="51"/>
      <c r="E624" s="51"/>
      <c r="F624" s="51"/>
      <c r="G624" s="51"/>
      <c r="H624" s="51"/>
      <c r="I624" s="51"/>
      <c r="J624" s="51"/>
      <c r="K624" s="51"/>
    </row>
    <row r="625" spans="1:1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>
      <c r="A626" s="3" t="s">
        <v>3</v>
      </c>
      <c r="B626" s="3"/>
      <c r="C626" s="3"/>
      <c r="D626" s="3"/>
      <c r="E626" s="4" t="s">
        <v>4</v>
      </c>
      <c r="F626" s="40" t="s">
        <v>71</v>
      </c>
      <c r="G626" s="3"/>
      <c r="H626" s="3"/>
      <c r="I626" s="3"/>
      <c r="J626" s="3"/>
      <c r="K626" s="3"/>
    </row>
    <row r="627" spans="1:11">
      <c r="A627" s="5" t="s">
        <v>5</v>
      </c>
      <c r="B627" s="5"/>
      <c r="C627" s="5"/>
      <c r="D627" s="5"/>
      <c r="E627" s="4" t="s">
        <v>4</v>
      </c>
      <c r="F627" s="45" t="s">
        <v>64</v>
      </c>
      <c r="G627" s="3"/>
      <c r="H627" s="3"/>
      <c r="I627" s="3"/>
      <c r="J627" s="3"/>
      <c r="K627" s="3"/>
    </row>
    <row r="628" spans="1:11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thickTop="1">
      <c r="A629" s="6" t="s">
        <v>6</v>
      </c>
      <c r="B629" s="53" t="s">
        <v>7</v>
      </c>
      <c r="C629" s="54"/>
      <c r="D629" s="54"/>
      <c r="E629" s="54"/>
      <c r="F629" s="54"/>
      <c r="G629" s="54"/>
      <c r="H629" s="55"/>
      <c r="I629" s="56" t="s">
        <v>8</v>
      </c>
      <c r="J629" s="57"/>
      <c r="K629" s="7" t="s">
        <v>9</v>
      </c>
    </row>
    <row r="630" spans="1:11">
      <c r="A630" s="8"/>
      <c r="B630" s="9"/>
      <c r="C630" s="10"/>
      <c r="D630" s="10"/>
      <c r="E630" s="10"/>
      <c r="F630" s="10"/>
      <c r="G630" s="10"/>
      <c r="H630" s="11"/>
      <c r="I630" s="29"/>
      <c r="J630" s="30"/>
      <c r="K630" s="58"/>
    </row>
    <row r="631" spans="1:11">
      <c r="A631" s="8" t="s">
        <v>10</v>
      </c>
      <c r="B631" s="61" t="s">
        <v>27</v>
      </c>
      <c r="C631" s="62"/>
      <c r="D631" s="62"/>
      <c r="E631" s="62"/>
      <c r="F631" s="62"/>
      <c r="G631" s="62"/>
      <c r="H631" s="63"/>
      <c r="I631" s="31"/>
      <c r="J631" s="32"/>
      <c r="K631" s="59"/>
    </row>
    <row r="632" spans="1:11">
      <c r="A632" s="8"/>
      <c r="B632" s="12" t="s">
        <v>11</v>
      </c>
      <c r="C632" s="3" t="s">
        <v>47</v>
      </c>
      <c r="D632" s="3"/>
      <c r="E632" s="3"/>
      <c r="F632" s="4"/>
      <c r="G632" s="4" t="s">
        <v>12</v>
      </c>
      <c r="H632" s="13">
        <v>0</v>
      </c>
      <c r="I632" s="31" t="s">
        <v>12</v>
      </c>
      <c r="J632" s="32">
        <f>(H632)</f>
        <v>0</v>
      </c>
      <c r="K632" s="59"/>
    </row>
    <row r="633" spans="1:11">
      <c r="A633" s="8"/>
      <c r="B633" s="12" t="s">
        <v>11</v>
      </c>
      <c r="C633" s="3" t="s">
        <v>48</v>
      </c>
      <c r="D633" s="3"/>
      <c r="E633" s="3"/>
      <c r="F633" s="4"/>
      <c r="G633" s="4" t="s">
        <v>12</v>
      </c>
      <c r="H633" s="13">
        <v>0</v>
      </c>
      <c r="I633" s="31" t="s">
        <v>12</v>
      </c>
      <c r="J633" s="32">
        <f>(H633)</f>
        <v>0</v>
      </c>
      <c r="K633" s="59"/>
    </row>
    <row r="634" spans="1:11">
      <c r="A634" s="8" t="s">
        <v>28</v>
      </c>
      <c r="B634" s="61" t="s">
        <v>96</v>
      </c>
      <c r="C634" s="62"/>
      <c r="D634" s="62"/>
      <c r="E634" s="62"/>
      <c r="F634" s="62"/>
      <c r="G634" s="62"/>
      <c r="H634" s="63"/>
      <c r="I634" s="33"/>
      <c r="J634" s="34"/>
      <c r="K634" s="59"/>
    </row>
    <row r="635" spans="1:11">
      <c r="A635" s="8"/>
      <c r="B635" s="12">
        <v>3</v>
      </c>
      <c r="C635" s="5" t="s">
        <v>29</v>
      </c>
      <c r="D635" s="5"/>
      <c r="E635" s="5"/>
      <c r="F635" s="4" t="s">
        <v>13</v>
      </c>
      <c r="G635" s="4" t="s">
        <v>12</v>
      </c>
      <c r="H635" s="13">
        <v>150000</v>
      </c>
      <c r="I635" s="12" t="s">
        <v>12</v>
      </c>
      <c r="J635" s="32">
        <f>B635*H635</f>
        <v>450000</v>
      </c>
      <c r="K635" s="59"/>
    </row>
    <row r="636" spans="1:11">
      <c r="A636" s="41" t="s">
        <v>30</v>
      </c>
      <c r="B636" s="61" t="s">
        <v>35</v>
      </c>
      <c r="C636" s="62"/>
      <c r="D636" s="62"/>
      <c r="E636" s="62"/>
      <c r="F636" s="62"/>
      <c r="G636" s="62"/>
      <c r="H636" s="63"/>
      <c r="I636" s="33"/>
      <c r="J636" s="32"/>
      <c r="K636" s="59"/>
    </row>
    <row r="637" spans="1:11">
      <c r="A637" s="8"/>
      <c r="B637" s="12">
        <v>1</v>
      </c>
      <c r="C637" s="3" t="s">
        <v>31</v>
      </c>
      <c r="D637" s="42"/>
      <c r="E637" s="43"/>
      <c r="F637" s="4" t="s">
        <v>13</v>
      </c>
      <c r="G637" s="4" t="s">
        <v>12</v>
      </c>
      <c r="H637" s="13">
        <v>200000</v>
      </c>
      <c r="I637" s="12" t="s">
        <v>12</v>
      </c>
      <c r="J637" s="32">
        <f>B637*H637</f>
        <v>200000</v>
      </c>
      <c r="K637" s="59"/>
    </row>
    <row r="638" spans="1:11">
      <c r="A638" s="8"/>
      <c r="B638" s="12">
        <v>1</v>
      </c>
      <c r="C638" s="3" t="s">
        <v>70</v>
      </c>
      <c r="D638" s="3"/>
      <c r="E638" s="3"/>
      <c r="F638" s="4" t="s">
        <v>13</v>
      </c>
      <c r="G638" s="4" t="s">
        <v>12</v>
      </c>
      <c r="H638" s="13">
        <v>60000</v>
      </c>
      <c r="I638" s="12" t="s">
        <v>12</v>
      </c>
      <c r="J638" s="32">
        <f>B638*H638</f>
        <v>60000</v>
      </c>
      <c r="K638" s="59"/>
    </row>
    <row r="639" spans="1:11">
      <c r="A639" s="8"/>
      <c r="B639" s="14" t="s">
        <v>14</v>
      </c>
      <c r="C639" s="15"/>
      <c r="D639" s="15"/>
      <c r="E639" s="15"/>
      <c r="F639" s="15"/>
      <c r="G639" s="15"/>
      <c r="H639" s="16"/>
      <c r="I639" s="35" t="s">
        <v>12</v>
      </c>
      <c r="J639" s="36">
        <f>SUM(J635:J638)</f>
        <v>710000</v>
      </c>
      <c r="K639" s="60"/>
    </row>
    <row r="640" spans="1:11" ht="15.75" thickBot="1">
      <c r="A640" s="17"/>
      <c r="B640" s="18" t="s">
        <v>15</v>
      </c>
      <c r="C640" s="19"/>
      <c r="D640" s="18" t="s">
        <v>101</v>
      </c>
      <c r="E640" s="18"/>
      <c r="F640" s="19"/>
      <c r="G640" s="19"/>
      <c r="H640" s="19"/>
      <c r="I640" s="19"/>
      <c r="J640" s="19"/>
      <c r="K640" s="37"/>
    </row>
    <row r="641" spans="1:11" ht="15.75" thickTop="1">
      <c r="A641" s="20"/>
      <c r="B641" s="21"/>
      <c r="C641" s="22"/>
      <c r="D641" s="21"/>
      <c r="E641" s="21"/>
      <c r="F641" s="22"/>
      <c r="G641" s="22"/>
      <c r="H641" s="22"/>
      <c r="I641" s="22"/>
      <c r="J641" s="22"/>
      <c r="K641" s="22"/>
    </row>
    <row r="642" spans="1:11">
      <c r="A642" s="3"/>
      <c r="B642" s="3"/>
      <c r="C642" s="3"/>
      <c r="D642" s="3"/>
      <c r="E642" s="3"/>
      <c r="F642" s="3"/>
      <c r="G642" s="3"/>
      <c r="H642" s="3"/>
      <c r="I642" s="5" t="s">
        <v>65</v>
      </c>
      <c r="J642" s="3"/>
      <c r="K642" s="5"/>
    </row>
    <row r="643" spans="1:11">
      <c r="A643" s="3"/>
      <c r="B643" s="3" t="s">
        <v>16</v>
      </c>
      <c r="C643" s="3"/>
      <c r="D643" s="3"/>
      <c r="E643" s="3"/>
      <c r="F643" s="3"/>
      <c r="G643" s="3"/>
      <c r="H643" s="3"/>
      <c r="I643" s="5" t="s">
        <v>17</v>
      </c>
      <c r="J643" s="4"/>
      <c r="K643" s="4"/>
    </row>
    <row r="644" spans="1:11">
      <c r="A644" s="3"/>
      <c r="B644" s="5" t="s">
        <v>12</v>
      </c>
      <c r="C644" s="48">
        <f>J639</f>
        <v>710000</v>
      </c>
      <c r="D644" s="48"/>
      <c r="E644" s="23"/>
      <c r="F644" s="3"/>
      <c r="G644" s="3"/>
      <c r="H644" s="3"/>
      <c r="I644" s="5" t="s">
        <v>12</v>
      </c>
      <c r="J644" s="38">
        <f>C644</f>
        <v>710000</v>
      </c>
      <c r="K644" s="3"/>
    </row>
    <row r="645" spans="1:1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>
      <c r="A646" s="3"/>
      <c r="B646" s="3" t="s">
        <v>18</v>
      </c>
      <c r="C646" s="3"/>
      <c r="D646" s="3"/>
      <c r="E646" s="3"/>
      <c r="F646" s="3"/>
      <c r="G646" s="3"/>
      <c r="H646" s="3"/>
      <c r="I646" s="5" t="s">
        <v>19</v>
      </c>
      <c r="J646" s="3"/>
      <c r="K646" s="4"/>
    </row>
    <row r="647" spans="1:1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>
      <c r="A650" s="3"/>
      <c r="B650" s="24" t="s">
        <v>32</v>
      </c>
      <c r="C650" s="24"/>
      <c r="D650" s="25"/>
      <c r="E650" s="25"/>
      <c r="F650" s="26"/>
      <c r="G650" s="26"/>
      <c r="H650" s="3"/>
      <c r="I650" s="26" t="s">
        <v>72</v>
      </c>
      <c r="J650" s="25"/>
      <c r="K650" s="25"/>
    </row>
    <row r="651" spans="1:1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 spans="1:11">
      <c r="A653" s="49" t="s">
        <v>20</v>
      </c>
      <c r="B653" s="49"/>
      <c r="C653" s="49"/>
      <c r="D653" s="49"/>
      <c r="E653" s="49"/>
      <c r="F653" s="49"/>
      <c r="G653" s="49"/>
      <c r="H653" s="49"/>
      <c r="I653" s="49"/>
      <c r="J653" s="49"/>
      <c r="K653" s="49"/>
    </row>
    <row r="654" spans="1:1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>
      <c r="A655" s="3"/>
      <c r="B655" s="3" t="s">
        <v>21</v>
      </c>
      <c r="C655" s="3"/>
      <c r="D655" s="3"/>
      <c r="E655" s="3"/>
      <c r="F655" s="3"/>
      <c r="G655" s="3"/>
      <c r="H655" s="3"/>
      <c r="I655" s="3" t="s">
        <v>22</v>
      </c>
      <c r="J655" s="38">
        <f>(J639)</f>
        <v>710000</v>
      </c>
      <c r="K655" s="23"/>
    </row>
    <row r="656" spans="1:11">
      <c r="A656" s="3"/>
      <c r="B656" s="3" t="s">
        <v>23</v>
      </c>
      <c r="C656" s="3"/>
      <c r="D656" s="3"/>
      <c r="E656" s="3"/>
      <c r="F656" s="3"/>
      <c r="G656" s="3"/>
      <c r="H656" s="3"/>
      <c r="I656" s="3" t="s">
        <v>22</v>
      </c>
      <c r="J656" s="39">
        <f>(J644)</f>
        <v>710000</v>
      </c>
      <c r="K656" s="3"/>
    </row>
    <row r="657" spans="1:11">
      <c r="A657" s="3"/>
      <c r="B657" s="3" t="s">
        <v>24</v>
      </c>
      <c r="C657" s="3"/>
      <c r="D657" s="3"/>
      <c r="E657" s="3"/>
      <c r="F657" s="3"/>
      <c r="G657" s="3"/>
      <c r="H657" s="3"/>
      <c r="I657" s="3" t="s">
        <v>22</v>
      </c>
      <c r="J657" s="23">
        <f>J655-J656</f>
        <v>0</v>
      </c>
      <c r="K657" s="3"/>
    </row>
    <row r="658" spans="1:1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>
      <c r="A659" s="3"/>
      <c r="B659" s="3"/>
      <c r="C659" s="3"/>
      <c r="D659" s="3"/>
      <c r="E659" s="3"/>
      <c r="F659" s="3"/>
      <c r="G659" s="3"/>
      <c r="H659" s="3"/>
      <c r="I659" s="3"/>
      <c r="J659" s="15" t="s">
        <v>25</v>
      </c>
      <c r="K659" s="4"/>
    </row>
    <row r="660" spans="1:11">
      <c r="A660" s="3"/>
      <c r="B660" s="3"/>
      <c r="C660" s="3"/>
      <c r="D660" s="3"/>
      <c r="E660" s="3"/>
      <c r="F660" s="3"/>
      <c r="G660" s="3"/>
      <c r="H660" s="3"/>
      <c r="I660" s="3"/>
      <c r="J660" s="5"/>
      <c r="K660" s="3"/>
    </row>
    <row r="661" spans="1:11">
      <c r="A661" s="3"/>
      <c r="B661" s="3"/>
      <c r="C661" s="3"/>
      <c r="D661" s="3"/>
      <c r="E661" s="3"/>
      <c r="F661" s="3"/>
      <c r="G661" s="3"/>
      <c r="H661" s="3"/>
      <c r="I661" s="3"/>
      <c r="J661" s="5"/>
      <c r="K661" s="3"/>
    </row>
    <row r="662" spans="1:11">
      <c r="A662" s="3"/>
      <c r="B662" s="3"/>
      <c r="C662" s="3"/>
      <c r="D662" s="3"/>
      <c r="E662" s="3"/>
      <c r="F662" s="3"/>
      <c r="G662" s="3"/>
      <c r="H662" s="3"/>
      <c r="I662" s="3"/>
      <c r="J662" s="5"/>
      <c r="K662" s="3"/>
    </row>
    <row r="663" spans="1:11">
      <c r="A663" s="3"/>
      <c r="B663" s="3"/>
      <c r="C663" s="3"/>
      <c r="D663" s="3"/>
      <c r="E663" s="3"/>
      <c r="F663" s="3"/>
      <c r="G663" s="3"/>
      <c r="H663" s="3"/>
      <c r="I663" s="3"/>
      <c r="J663" s="24" t="s">
        <v>26</v>
      </c>
      <c r="K663" s="3"/>
    </row>
    <row r="664" spans="1:1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</row>
    <row r="666" spans="1:1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>
      <c r="A672" s="50" t="s">
        <v>0</v>
      </c>
      <c r="B672" s="50"/>
      <c r="C672" s="50"/>
      <c r="D672" s="50"/>
      <c r="E672" s="50"/>
      <c r="F672" s="50"/>
      <c r="G672" s="50"/>
      <c r="H672" s="50"/>
      <c r="I672" s="50"/>
      <c r="J672" s="50"/>
      <c r="K672" s="50"/>
    </row>
    <row r="673" spans="1:11">
      <c r="A673" s="52" t="s">
        <v>1</v>
      </c>
      <c r="B673" s="52"/>
      <c r="C673" s="52"/>
      <c r="D673" s="52"/>
      <c r="E673" s="52"/>
      <c r="F673" s="52"/>
      <c r="G673" s="52"/>
      <c r="H673" s="52"/>
      <c r="I673" s="52"/>
      <c r="J673" s="52"/>
      <c r="K673" s="52"/>
    </row>
    <row r="674" spans="1:1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>
      <c r="A675" s="51" t="s">
        <v>2</v>
      </c>
      <c r="B675" s="51"/>
      <c r="C675" s="51"/>
      <c r="D675" s="51"/>
      <c r="E675" s="51"/>
      <c r="F675" s="51"/>
      <c r="G675" s="51"/>
      <c r="H675" s="51"/>
      <c r="I675" s="51"/>
      <c r="J675" s="51"/>
      <c r="K675" s="51"/>
    </row>
    <row r="676" spans="1:1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>
      <c r="A677" s="3" t="s">
        <v>3</v>
      </c>
      <c r="B677" s="3"/>
      <c r="C677" s="3"/>
      <c r="D677" s="3"/>
      <c r="E677" s="4" t="s">
        <v>4</v>
      </c>
      <c r="F677" s="40" t="s">
        <v>73</v>
      </c>
      <c r="G677" s="3"/>
      <c r="H677" s="3"/>
      <c r="I677" s="3"/>
      <c r="J677" s="3"/>
      <c r="K677" s="3"/>
    </row>
    <row r="678" spans="1:11">
      <c r="A678" s="5" t="s">
        <v>5</v>
      </c>
      <c r="B678" s="5"/>
      <c r="C678" s="5"/>
      <c r="D678" s="5"/>
      <c r="E678" s="4" t="s">
        <v>4</v>
      </c>
      <c r="F678" s="45" t="s">
        <v>64</v>
      </c>
      <c r="G678" s="3"/>
      <c r="H678" s="3"/>
      <c r="I678" s="3"/>
      <c r="J678" s="3"/>
      <c r="K678" s="3"/>
    </row>
    <row r="679" spans="1:11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thickTop="1">
      <c r="A680" s="6" t="s">
        <v>6</v>
      </c>
      <c r="B680" s="53" t="s">
        <v>7</v>
      </c>
      <c r="C680" s="54"/>
      <c r="D680" s="54"/>
      <c r="E680" s="54"/>
      <c r="F680" s="54"/>
      <c r="G680" s="54"/>
      <c r="H680" s="55"/>
      <c r="I680" s="56" t="s">
        <v>8</v>
      </c>
      <c r="J680" s="57"/>
      <c r="K680" s="7" t="s">
        <v>9</v>
      </c>
    </row>
    <row r="681" spans="1:11">
      <c r="A681" s="8"/>
      <c r="B681" s="9"/>
      <c r="C681" s="10"/>
      <c r="D681" s="10"/>
      <c r="E681" s="10"/>
      <c r="F681" s="10"/>
      <c r="G681" s="10"/>
      <c r="H681" s="11"/>
      <c r="I681" s="29"/>
      <c r="J681" s="30"/>
      <c r="K681" s="58"/>
    </row>
    <row r="682" spans="1:11">
      <c r="A682" s="8" t="s">
        <v>10</v>
      </c>
      <c r="B682" s="61" t="s">
        <v>27</v>
      </c>
      <c r="C682" s="62"/>
      <c r="D682" s="62"/>
      <c r="E682" s="62"/>
      <c r="F682" s="62"/>
      <c r="G682" s="62"/>
      <c r="H682" s="63"/>
      <c r="I682" s="31"/>
      <c r="J682" s="32"/>
      <c r="K682" s="59"/>
    </row>
    <row r="683" spans="1:11">
      <c r="A683" s="8"/>
      <c r="B683" s="12" t="s">
        <v>11</v>
      </c>
      <c r="C683" s="3" t="s">
        <v>47</v>
      </c>
      <c r="D683" s="3"/>
      <c r="E683" s="3"/>
      <c r="F683" s="4"/>
      <c r="G683" s="4" t="s">
        <v>12</v>
      </c>
      <c r="H683" s="13">
        <v>0</v>
      </c>
      <c r="I683" s="31" t="s">
        <v>12</v>
      </c>
      <c r="J683" s="32">
        <f>(H683)</f>
        <v>0</v>
      </c>
      <c r="K683" s="59"/>
    </row>
    <row r="684" spans="1:11">
      <c r="A684" s="8"/>
      <c r="B684" s="12" t="s">
        <v>11</v>
      </c>
      <c r="C684" s="3" t="s">
        <v>48</v>
      </c>
      <c r="D684" s="3"/>
      <c r="E684" s="3"/>
      <c r="F684" s="4"/>
      <c r="G684" s="4" t="s">
        <v>12</v>
      </c>
      <c r="H684" s="13">
        <v>0</v>
      </c>
      <c r="I684" s="31" t="s">
        <v>12</v>
      </c>
      <c r="J684" s="32">
        <f>(H684)</f>
        <v>0</v>
      </c>
      <c r="K684" s="59"/>
    </row>
    <row r="685" spans="1:11">
      <c r="A685" s="8" t="s">
        <v>28</v>
      </c>
      <c r="B685" s="61" t="s">
        <v>95</v>
      </c>
      <c r="C685" s="62"/>
      <c r="D685" s="62"/>
      <c r="E685" s="62"/>
      <c r="F685" s="62"/>
      <c r="G685" s="62"/>
      <c r="H685" s="63"/>
      <c r="I685" s="33"/>
      <c r="J685" s="34"/>
      <c r="K685" s="59"/>
    </row>
    <row r="686" spans="1:11">
      <c r="A686" s="8"/>
      <c r="B686" s="12">
        <v>3</v>
      </c>
      <c r="C686" s="5" t="s">
        <v>29</v>
      </c>
      <c r="D686" s="5"/>
      <c r="E686" s="5"/>
      <c r="F686" s="4" t="s">
        <v>13</v>
      </c>
      <c r="G686" s="4" t="s">
        <v>12</v>
      </c>
      <c r="H686" s="13">
        <v>150000</v>
      </c>
      <c r="I686" s="12" t="s">
        <v>12</v>
      </c>
      <c r="J686" s="32">
        <f>B686*H686</f>
        <v>450000</v>
      </c>
      <c r="K686" s="59"/>
    </row>
    <row r="687" spans="1:11">
      <c r="A687" s="41" t="s">
        <v>30</v>
      </c>
      <c r="B687" s="61" t="s">
        <v>35</v>
      </c>
      <c r="C687" s="62"/>
      <c r="D687" s="62"/>
      <c r="E687" s="62"/>
      <c r="F687" s="62"/>
      <c r="G687" s="62"/>
      <c r="H687" s="63"/>
      <c r="I687" s="33"/>
      <c r="J687" s="32"/>
      <c r="K687" s="59"/>
    </row>
    <row r="688" spans="1:11">
      <c r="A688" s="8"/>
      <c r="B688" s="12">
        <v>2</v>
      </c>
      <c r="C688" s="3" t="s">
        <v>70</v>
      </c>
      <c r="D688" s="3"/>
      <c r="E688" s="3"/>
      <c r="F688" s="4" t="s">
        <v>13</v>
      </c>
      <c r="G688" s="4" t="s">
        <v>12</v>
      </c>
      <c r="H688" s="13">
        <v>60000</v>
      </c>
      <c r="I688" s="12" t="s">
        <v>12</v>
      </c>
      <c r="J688" s="32">
        <f>B688*H688</f>
        <v>120000</v>
      </c>
      <c r="K688" s="59"/>
    </row>
    <row r="689" spans="1:11">
      <c r="A689" s="8"/>
      <c r="B689" s="14" t="s">
        <v>14</v>
      </c>
      <c r="C689" s="15"/>
      <c r="D689" s="15"/>
      <c r="E689" s="15"/>
      <c r="F689" s="15"/>
      <c r="G689" s="15"/>
      <c r="H689" s="16"/>
      <c r="I689" s="35" t="s">
        <v>12</v>
      </c>
      <c r="J689" s="36">
        <f>SUM(J683:J688)</f>
        <v>570000</v>
      </c>
      <c r="K689" s="60"/>
    </row>
    <row r="690" spans="1:11" ht="15.75" thickBot="1">
      <c r="A690" s="17"/>
      <c r="B690" s="18" t="s">
        <v>15</v>
      </c>
      <c r="C690" s="19"/>
      <c r="D690" s="18" t="s">
        <v>97</v>
      </c>
      <c r="E690" s="18"/>
      <c r="F690" s="19"/>
      <c r="G690" s="19"/>
      <c r="H690" s="19"/>
      <c r="I690" s="19"/>
      <c r="J690" s="19"/>
      <c r="K690" s="37"/>
    </row>
    <row r="691" spans="1:11" ht="15.75" thickTop="1">
      <c r="A691" s="20"/>
      <c r="B691" s="21"/>
      <c r="C691" s="22"/>
      <c r="D691" s="21"/>
      <c r="E691" s="21"/>
      <c r="F691" s="22"/>
      <c r="G691" s="22"/>
      <c r="H691" s="22"/>
      <c r="I691" s="22"/>
      <c r="J691" s="22"/>
      <c r="K691" s="22"/>
    </row>
    <row r="692" spans="1:11">
      <c r="A692" s="3"/>
      <c r="B692" s="3"/>
      <c r="C692" s="3"/>
      <c r="D692" s="3"/>
      <c r="E692" s="3"/>
      <c r="F692" s="3"/>
      <c r="G692" s="3"/>
      <c r="H692" s="3"/>
      <c r="I692" s="5" t="s">
        <v>65</v>
      </c>
      <c r="J692" s="3"/>
      <c r="K692" s="5"/>
    </row>
    <row r="693" spans="1:11">
      <c r="A693" s="3"/>
      <c r="B693" s="3" t="s">
        <v>16</v>
      </c>
      <c r="C693" s="3"/>
      <c r="D693" s="3"/>
      <c r="E693" s="3"/>
      <c r="F693" s="3"/>
      <c r="G693" s="3"/>
      <c r="H693" s="3"/>
      <c r="I693" s="5" t="s">
        <v>17</v>
      </c>
      <c r="J693" s="4"/>
      <c r="K693" s="4"/>
    </row>
    <row r="694" spans="1:11">
      <c r="A694" s="3"/>
      <c r="B694" s="5" t="s">
        <v>12</v>
      </c>
      <c r="C694" s="48">
        <f>J689</f>
        <v>570000</v>
      </c>
      <c r="D694" s="48"/>
      <c r="E694" s="23"/>
      <c r="F694" s="3"/>
      <c r="G694" s="3"/>
      <c r="H694" s="3"/>
      <c r="I694" s="5" t="s">
        <v>12</v>
      </c>
      <c r="J694" s="38">
        <f>C694</f>
        <v>570000</v>
      </c>
      <c r="K694" s="3"/>
    </row>
    <row r="695" spans="1:1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>
      <c r="A696" s="3"/>
      <c r="B696" s="3" t="s">
        <v>18</v>
      </c>
      <c r="C696" s="3"/>
      <c r="D696" s="3"/>
      <c r="E696" s="3"/>
      <c r="F696" s="3"/>
      <c r="G696" s="3"/>
      <c r="H696" s="3"/>
      <c r="I696" s="5" t="s">
        <v>19</v>
      </c>
      <c r="J696" s="3"/>
      <c r="K696" s="4"/>
    </row>
    <row r="697" spans="1:1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>
      <c r="A700" s="3"/>
      <c r="B700" s="24" t="s">
        <v>32</v>
      </c>
      <c r="C700" s="24"/>
      <c r="D700" s="25"/>
      <c r="E700" s="25"/>
      <c r="F700" s="26"/>
      <c r="G700" s="26"/>
      <c r="H700" s="3"/>
      <c r="I700" s="26" t="s">
        <v>75</v>
      </c>
      <c r="J700" s="25"/>
      <c r="K700" s="25"/>
    </row>
    <row r="701" spans="1:1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 spans="1:11">
      <c r="A703" s="49" t="s">
        <v>20</v>
      </c>
      <c r="B703" s="49"/>
      <c r="C703" s="49"/>
      <c r="D703" s="49"/>
      <c r="E703" s="49"/>
      <c r="F703" s="49"/>
      <c r="G703" s="49"/>
      <c r="H703" s="49"/>
      <c r="I703" s="49"/>
      <c r="J703" s="49"/>
      <c r="K703" s="49"/>
    </row>
    <row r="704" spans="1:1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>
      <c r="A705" s="3"/>
      <c r="B705" s="3" t="s">
        <v>21</v>
      </c>
      <c r="C705" s="3"/>
      <c r="D705" s="3"/>
      <c r="E705" s="3"/>
      <c r="F705" s="3"/>
      <c r="G705" s="3"/>
      <c r="H705" s="3"/>
      <c r="I705" s="3" t="s">
        <v>22</v>
      </c>
      <c r="J705" s="38">
        <f>(J689)</f>
        <v>570000</v>
      </c>
      <c r="K705" s="23"/>
    </row>
    <row r="706" spans="1:11">
      <c r="A706" s="3"/>
      <c r="B706" s="3" t="s">
        <v>23</v>
      </c>
      <c r="C706" s="3"/>
      <c r="D706" s="3"/>
      <c r="E706" s="3"/>
      <c r="F706" s="3"/>
      <c r="G706" s="3"/>
      <c r="H706" s="3"/>
      <c r="I706" s="3" t="s">
        <v>22</v>
      </c>
      <c r="J706" s="39">
        <f>(J694)</f>
        <v>570000</v>
      </c>
      <c r="K706" s="3"/>
    </row>
    <row r="707" spans="1:11">
      <c r="A707" s="3"/>
      <c r="B707" s="3" t="s">
        <v>24</v>
      </c>
      <c r="C707" s="3"/>
      <c r="D707" s="3"/>
      <c r="E707" s="3"/>
      <c r="F707" s="3"/>
      <c r="G707" s="3"/>
      <c r="H707" s="3"/>
      <c r="I707" s="3" t="s">
        <v>22</v>
      </c>
      <c r="J707" s="23">
        <f>J705-J706</f>
        <v>0</v>
      </c>
      <c r="K707" s="3"/>
    </row>
    <row r="708" spans="1:1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>
      <c r="A709" s="3"/>
      <c r="B709" s="3"/>
      <c r="C709" s="3"/>
      <c r="D709" s="3"/>
      <c r="E709" s="3"/>
      <c r="F709" s="3"/>
      <c r="G709" s="3"/>
      <c r="H709" s="3"/>
      <c r="I709" s="3"/>
      <c r="J709" s="15" t="s">
        <v>25</v>
      </c>
      <c r="K709" s="4"/>
    </row>
    <row r="710" spans="1:11">
      <c r="A710" s="3"/>
      <c r="B710" s="3"/>
      <c r="C710" s="3"/>
      <c r="D710" s="3"/>
      <c r="E710" s="3"/>
      <c r="F710" s="3"/>
      <c r="G710" s="3"/>
      <c r="H710" s="3"/>
      <c r="I710" s="3"/>
      <c r="J710" s="5"/>
      <c r="K710" s="3"/>
    </row>
    <row r="711" spans="1:11">
      <c r="A711" s="3"/>
      <c r="B711" s="3"/>
      <c r="C711" s="3"/>
      <c r="D711" s="3"/>
      <c r="E711" s="3"/>
      <c r="F711" s="3"/>
      <c r="G711" s="3"/>
      <c r="H711" s="3"/>
      <c r="I711" s="3"/>
      <c r="J711" s="5"/>
      <c r="K711" s="3"/>
    </row>
    <row r="712" spans="1:11">
      <c r="A712" s="3"/>
      <c r="B712" s="3"/>
      <c r="C712" s="3"/>
      <c r="D712" s="3"/>
      <c r="E712" s="3"/>
      <c r="F712" s="3"/>
      <c r="G712" s="3"/>
      <c r="H712" s="3"/>
      <c r="I712" s="3"/>
      <c r="J712" s="5"/>
      <c r="K712" s="3"/>
    </row>
    <row r="713" spans="1:11">
      <c r="A713" s="3"/>
      <c r="B713" s="3"/>
      <c r="C713" s="3"/>
      <c r="D713" s="3"/>
      <c r="E713" s="3"/>
      <c r="F713" s="3"/>
      <c r="G713" s="3"/>
      <c r="H713" s="3"/>
      <c r="I713" s="3"/>
      <c r="J713" s="24" t="s">
        <v>26</v>
      </c>
      <c r="K713" s="3"/>
    </row>
    <row r="714" spans="1:1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</row>
    <row r="716" spans="1:1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>
      <c r="A722" s="50" t="s">
        <v>0</v>
      </c>
      <c r="B722" s="50"/>
      <c r="C722" s="50"/>
      <c r="D722" s="50"/>
      <c r="E722" s="50"/>
      <c r="F722" s="50"/>
      <c r="G722" s="50"/>
      <c r="H722" s="50"/>
      <c r="I722" s="50"/>
      <c r="J722" s="50"/>
      <c r="K722" s="50"/>
    </row>
    <row r="723" spans="1:11">
      <c r="A723" s="52" t="s">
        <v>1</v>
      </c>
      <c r="B723" s="52"/>
      <c r="C723" s="52"/>
      <c r="D723" s="52"/>
      <c r="E723" s="52"/>
      <c r="F723" s="52"/>
      <c r="G723" s="52"/>
      <c r="H723" s="52"/>
      <c r="I723" s="52"/>
      <c r="J723" s="52"/>
      <c r="K723" s="52"/>
    </row>
    <row r="724" spans="1:1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>
      <c r="A725" s="51" t="s">
        <v>2</v>
      </c>
      <c r="B725" s="51"/>
      <c r="C725" s="51"/>
      <c r="D725" s="51"/>
      <c r="E725" s="51"/>
      <c r="F725" s="51"/>
      <c r="G725" s="51"/>
      <c r="H725" s="51"/>
      <c r="I725" s="51"/>
      <c r="J725" s="51"/>
      <c r="K725" s="51"/>
    </row>
    <row r="726" spans="1:1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>
      <c r="A727" s="3" t="s">
        <v>3</v>
      </c>
      <c r="B727" s="3"/>
      <c r="C727" s="3"/>
      <c r="D727" s="3"/>
      <c r="E727" s="4" t="s">
        <v>4</v>
      </c>
      <c r="F727" s="40" t="s">
        <v>76</v>
      </c>
      <c r="G727" s="3"/>
      <c r="H727" s="3"/>
      <c r="I727" s="3"/>
      <c r="J727" s="3"/>
      <c r="K727" s="3"/>
    </row>
    <row r="728" spans="1:11">
      <c r="A728" s="5" t="s">
        <v>5</v>
      </c>
      <c r="B728" s="5"/>
      <c r="C728" s="5"/>
      <c r="D728" s="5"/>
      <c r="E728" s="4" t="s">
        <v>4</v>
      </c>
      <c r="F728" s="45" t="s">
        <v>64</v>
      </c>
      <c r="G728" s="3"/>
      <c r="H728" s="3"/>
      <c r="I728" s="3"/>
      <c r="J728" s="3"/>
      <c r="K728" s="3"/>
    </row>
    <row r="729" spans="1:11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thickTop="1">
      <c r="A730" s="6" t="s">
        <v>6</v>
      </c>
      <c r="B730" s="53" t="s">
        <v>7</v>
      </c>
      <c r="C730" s="54"/>
      <c r="D730" s="54"/>
      <c r="E730" s="54"/>
      <c r="F730" s="54"/>
      <c r="G730" s="54"/>
      <c r="H730" s="55"/>
      <c r="I730" s="56" t="s">
        <v>8</v>
      </c>
      <c r="J730" s="57"/>
      <c r="K730" s="7" t="s">
        <v>9</v>
      </c>
    </row>
    <row r="731" spans="1:11">
      <c r="A731" s="8"/>
      <c r="B731" s="9"/>
      <c r="C731" s="10"/>
      <c r="D731" s="10"/>
      <c r="E731" s="10"/>
      <c r="F731" s="10"/>
      <c r="G731" s="10"/>
      <c r="H731" s="11"/>
      <c r="I731" s="29"/>
      <c r="J731" s="30"/>
      <c r="K731" s="58"/>
    </row>
    <row r="732" spans="1:11">
      <c r="A732" s="8" t="s">
        <v>10</v>
      </c>
      <c r="B732" s="61" t="s">
        <v>27</v>
      </c>
      <c r="C732" s="62"/>
      <c r="D732" s="62"/>
      <c r="E732" s="62"/>
      <c r="F732" s="62"/>
      <c r="G732" s="62"/>
      <c r="H732" s="63"/>
      <c r="I732" s="31"/>
      <c r="J732" s="32"/>
      <c r="K732" s="59"/>
    </row>
    <row r="733" spans="1:11">
      <c r="A733" s="8"/>
      <c r="B733" s="12" t="s">
        <v>11</v>
      </c>
      <c r="C733" s="3" t="s">
        <v>47</v>
      </c>
      <c r="D733" s="3"/>
      <c r="E733" s="3"/>
      <c r="F733" s="4"/>
      <c r="G733" s="4" t="s">
        <v>12</v>
      </c>
      <c r="H733" s="13">
        <v>200000</v>
      </c>
      <c r="I733" s="31" t="s">
        <v>12</v>
      </c>
      <c r="J733" s="32">
        <f>(H733)</f>
        <v>200000</v>
      </c>
      <c r="K733" s="59"/>
    </row>
    <row r="734" spans="1:11">
      <c r="A734" s="8"/>
      <c r="B734" s="12" t="s">
        <v>11</v>
      </c>
      <c r="C734" s="3" t="s">
        <v>48</v>
      </c>
      <c r="D734" s="3"/>
      <c r="E734" s="3"/>
      <c r="F734" s="4"/>
      <c r="G734" s="4" t="s">
        <v>12</v>
      </c>
      <c r="H734" s="13">
        <v>200000</v>
      </c>
      <c r="I734" s="31" t="s">
        <v>12</v>
      </c>
      <c r="J734" s="32">
        <f>(H734)</f>
        <v>200000</v>
      </c>
      <c r="K734" s="59"/>
    </row>
    <row r="735" spans="1:11">
      <c r="A735" s="8" t="s">
        <v>28</v>
      </c>
      <c r="B735" s="61" t="s">
        <v>95</v>
      </c>
      <c r="C735" s="62"/>
      <c r="D735" s="62"/>
      <c r="E735" s="62"/>
      <c r="F735" s="62"/>
      <c r="G735" s="62"/>
      <c r="H735" s="63"/>
      <c r="I735" s="33"/>
      <c r="J735" s="34"/>
      <c r="K735" s="59"/>
    </row>
    <row r="736" spans="1:11">
      <c r="A736" s="8"/>
      <c r="B736" s="12">
        <v>3</v>
      </c>
      <c r="C736" s="5" t="s">
        <v>29</v>
      </c>
      <c r="D736" s="5"/>
      <c r="E736" s="5"/>
      <c r="F736" s="4" t="s">
        <v>13</v>
      </c>
      <c r="G736" s="4" t="s">
        <v>12</v>
      </c>
      <c r="H736" s="13">
        <v>150000</v>
      </c>
      <c r="I736" s="12" t="s">
        <v>12</v>
      </c>
      <c r="J736" s="32">
        <f>B736*H736</f>
        <v>450000</v>
      </c>
      <c r="K736" s="59"/>
    </row>
    <row r="737" spans="1:11">
      <c r="A737" s="41" t="s">
        <v>30</v>
      </c>
      <c r="B737" s="61" t="s">
        <v>35</v>
      </c>
      <c r="C737" s="62"/>
      <c r="D737" s="62"/>
      <c r="E737" s="62"/>
      <c r="F737" s="62"/>
      <c r="G737" s="62"/>
      <c r="H737" s="63"/>
      <c r="I737" s="33"/>
      <c r="J737" s="32"/>
      <c r="K737" s="59"/>
    </row>
    <row r="738" spans="1:11">
      <c r="A738" s="8"/>
      <c r="B738" s="12">
        <v>2</v>
      </c>
      <c r="C738" s="3" t="s">
        <v>70</v>
      </c>
      <c r="D738" s="3"/>
      <c r="E738" s="3"/>
      <c r="F738" s="4" t="s">
        <v>13</v>
      </c>
      <c r="G738" s="4" t="s">
        <v>12</v>
      </c>
      <c r="H738" s="13">
        <v>60000</v>
      </c>
      <c r="I738" s="12" t="s">
        <v>12</v>
      </c>
      <c r="J738" s="32">
        <f>B738*H738</f>
        <v>120000</v>
      </c>
      <c r="K738" s="59"/>
    </row>
    <row r="739" spans="1:11">
      <c r="A739" s="8"/>
      <c r="B739" s="14" t="s">
        <v>14</v>
      </c>
      <c r="C739" s="15"/>
      <c r="D739" s="15"/>
      <c r="E739" s="15"/>
      <c r="F739" s="15"/>
      <c r="G739" s="15"/>
      <c r="H739" s="16"/>
      <c r="I739" s="35" t="s">
        <v>12</v>
      </c>
      <c r="J739" s="36">
        <f>SUM(J733:J738)</f>
        <v>970000</v>
      </c>
      <c r="K739" s="60"/>
    </row>
    <row r="740" spans="1:11" ht="15.75" thickBot="1">
      <c r="A740" s="17"/>
      <c r="B740" s="18" t="s">
        <v>15</v>
      </c>
      <c r="C740" s="19"/>
      <c r="D740" s="18" t="s">
        <v>74</v>
      </c>
      <c r="E740" s="18"/>
      <c r="F740" s="19"/>
      <c r="G740" s="19"/>
      <c r="H740" s="19"/>
      <c r="I740" s="19"/>
      <c r="J740" s="19"/>
      <c r="K740" s="37"/>
    </row>
    <row r="741" spans="1:11" ht="15.75" thickTop="1">
      <c r="A741" s="20"/>
      <c r="B741" s="21"/>
      <c r="C741" s="22"/>
      <c r="D741" s="21"/>
      <c r="E741" s="21"/>
      <c r="F741" s="22"/>
      <c r="G741" s="22"/>
      <c r="H741" s="22"/>
      <c r="I741" s="22"/>
      <c r="J741" s="22"/>
      <c r="K741" s="22"/>
    </row>
    <row r="742" spans="1:11">
      <c r="A742" s="3"/>
      <c r="B742" s="3"/>
      <c r="C742" s="3"/>
      <c r="D742" s="3"/>
      <c r="E742" s="3"/>
      <c r="F742" s="3"/>
      <c r="G742" s="3"/>
      <c r="H742" s="3"/>
      <c r="I742" s="5" t="s">
        <v>65</v>
      </c>
      <c r="J742" s="3"/>
      <c r="K742" s="5"/>
    </row>
    <row r="743" spans="1:11">
      <c r="A743" s="3"/>
      <c r="B743" s="3" t="s">
        <v>16</v>
      </c>
      <c r="C743" s="3"/>
      <c r="D743" s="3"/>
      <c r="E743" s="3"/>
      <c r="F743" s="3"/>
      <c r="G743" s="3"/>
      <c r="H743" s="3"/>
      <c r="I743" s="5" t="s">
        <v>17</v>
      </c>
      <c r="J743" s="4"/>
      <c r="K743" s="4"/>
    </row>
    <row r="744" spans="1:11">
      <c r="A744" s="3"/>
      <c r="B744" s="5" t="s">
        <v>12</v>
      </c>
      <c r="C744" s="48">
        <f>J739</f>
        <v>970000</v>
      </c>
      <c r="D744" s="48"/>
      <c r="E744" s="23"/>
      <c r="F744" s="3"/>
      <c r="G744" s="3"/>
      <c r="H744" s="3"/>
      <c r="I744" s="5" t="s">
        <v>12</v>
      </c>
      <c r="J744" s="38">
        <f>C744</f>
        <v>970000</v>
      </c>
      <c r="K744" s="3"/>
    </row>
    <row r="745" spans="1:1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>
      <c r="A746" s="3"/>
      <c r="B746" s="3" t="s">
        <v>18</v>
      </c>
      <c r="C746" s="3"/>
      <c r="D746" s="3"/>
      <c r="E746" s="3"/>
      <c r="F746" s="3"/>
      <c r="G746" s="3"/>
      <c r="H746" s="3"/>
      <c r="I746" s="5" t="s">
        <v>19</v>
      </c>
      <c r="J746" s="3"/>
      <c r="K746" s="4"/>
    </row>
    <row r="747" spans="1:1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>
      <c r="A750" s="3"/>
      <c r="B750" s="24" t="s">
        <v>32</v>
      </c>
      <c r="C750" s="24"/>
      <c r="D750" s="25"/>
      <c r="E750" s="25"/>
      <c r="F750" s="26"/>
      <c r="G750" s="26"/>
      <c r="H750" s="3"/>
      <c r="I750" s="26" t="s">
        <v>34</v>
      </c>
      <c r="J750" s="25"/>
      <c r="K750" s="25"/>
    </row>
    <row r="751" spans="1:1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 spans="1:11">
      <c r="A753" s="49" t="s">
        <v>20</v>
      </c>
      <c r="B753" s="49"/>
      <c r="C753" s="49"/>
      <c r="D753" s="49"/>
      <c r="E753" s="49"/>
      <c r="F753" s="49"/>
      <c r="G753" s="49"/>
      <c r="H753" s="49"/>
      <c r="I753" s="49"/>
      <c r="J753" s="49"/>
      <c r="K753" s="49"/>
    </row>
    <row r="754" spans="1:1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>
      <c r="A755" s="3"/>
      <c r="B755" s="3" t="s">
        <v>21</v>
      </c>
      <c r="C755" s="3"/>
      <c r="D755" s="3"/>
      <c r="E755" s="3"/>
      <c r="F755" s="3"/>
      <c r="G755" s="3"/>
      <c r="H755" s="3"/>
      <c r="I755" s="3" t="s">
        <v>22</v>
      </c>
      <c r="J755" s="38">
        <f>(J739)</f>
        <v>970000</v>
      </c>
      <c r="K755" s="23"/>
    </row>
    <row r="756" spans="1:11">
      <c r="A756" s="3"/>
      <c r="B756" s="3" t="s">
        <v>23</v>
      </c>
      <c r="C756" s="3"/>
      <c r="D756" s="3"/>
      <c r="E756" s="3"/>
      <c r="F756" s="3"/>
      <c r="G756" s="3"/>
      <c r="H756" s="3"/>
      <c r="I756" s="3" t="s">
        <v>22</v>
      </c>
      <c r="J756" s="39">
        <f>(J744)</f>
        <v>970000</v>
      </c>
      <c r="K756" s="3"/>
    </row>
    <row r="757" spans="1:11">
      <c r="A757" s="3"/>
      <c r="B757" s="3" t="s">
        <v>24</v>
      </c>
      <c r="C757" s="3"/>
      <c r="D757" s="3"/>
      <c r="E757" s="3"/>
      <c r="F757" s="3"/>
      <c r="G757" s="3"/>
      <c r="H757" s="3"/>
      <c r="I757" s="3" t="s">
        <v>22</v>
      </c>
      <c r="J757" s="23">
        <f>J755-J756</f>
        <v>0</v>
      </c>
      <c r="K757" s="3"/>
    </row>
    <row r="758" spans="1:1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>
      <c r="A759" s="3"/>
      <c r="B759" s="3"/>
      <c r="C759" s="3"/>
      <c r="D759" s="3"/>
      <c r="E759" s="3"/>
      <c r="F759" s="3"/>
      <c r="G759" s="3"/>
      <c r="H759" s="3"/>
      <c r="I759" s="3"/>
      <c r="J759" s="15" t="s">
        <v>25</v>
      </c>
      <c r="K759" s="4"/>
    </row>
    <row r="760" spans="1:11">
      <c r="A760" s="3"/>
      <c r="B760" s="3"/>
      <c r="C760" s="3"/>
      <c r="D760" s="3"/>
      <c r="E760" s="3"/>
      <c r="F760" s="3"/>
      <c r="G760" s="3"/>
      <c r="H760" s="3"/>
      <c r="I760" s="3"/>
      <c r="J760" s="5"/>
      <c r="K760" s="3"/>
    </row>
    <row r="761" spans="1:11">
      <c r="A761" s="3"/>
      <c r="B761" s="3"/>
      <c r="C761" s="3"/>
      <c r="D761" s="3"/>
      <c r="E761" s="3"/>
      <c r="F761" s="3"/>
      <c r="G761" s="3"/>
      <c r="H761" s="3"/>
      <c r="I761" s="3"/>
      <c r="J761" s="5"/>
      <c r="K761" s="3"/>
    </row>
    <row r="762" spans="1:11">
      <c r="A762" s="3"/>
      <c r="B762" s="3"/>
      <c r="C762" s="3"/>
      <c r="D762" s="3"/>
      <c r="E762" s="3"/>
      <c r="F762" s="3"/>
      <c r="G762" s="3"/>
      <c r="H762" s="3"/>
      <c r="I762" s="3"/>
      <c r="J762" s="5"/>
      <c r="K762" s="3"/>
    </row>
    <row r="763" spans="1:11">
      <c r="A763" s="3"/>
      <c r="B763" s="3"/>
      <c r="C763" s="3"/>
      <c r="D763" s="3"/>
      <c r="E763" s="3"/>
      <c r="F763" s="3"/>
      <c r="G763" s="3"/>
      <c r="H763" s="3"/>
      <c r="I763" s="3"/>
      <c r="J763" s="24" t="s">
        <v>26</v>
      </c>
      <c r="K763" s="3"/>
    </row>
    <row r="764" spans="1:1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</row>
    <row r="766" spans="1:1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>
      <c r="A772" s="50" t="s">
        <v>0</v>
      </c>
      <c r="B772" s="50"/>
      <c r="C772" s="50"/>
      <c r="D772" s="50"/>
      <c r="E772" s="50"/>
      <c r="F772" s="50"/>
      <c r="G772" s="50"/>
      <c r="H772" s="50"/>
      <c r="I772" s="50"/>
      <c r="J772" s="50"/>
      <c r="K772" s="50"/>
    </row>
    <row r="773" spans="1:11">
      <c r="A773" s="52" t="s">
        <v>1</v>
      </c>
      <c r="B773" s="52"/>
      <c r="C773" s="52"/>
      <c r="D773" s="52"/>
      <c r="E773" s="52"/>
      <c r="F773" s="52"/>
      <c r="G773" s="52"/>
      <c r="H773" s="52"/>
      <c r="I773" s="52"/>
      <c r="J773" s="52"/>
      <c r="K773" s="52"/>
    </row>
    <row r="774" spans="1:1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>
      <c r="A775" s="51" t="s">
        <v>2</v>
      </c>
      <c r="B775" s="51"/>
      <c r="C775" s="51"/>
      <c r="D775" s="51"/>
      <c r="E775" s="51"/>
      <c r="F775" s="51"/>
      <c r="G775" s="51"/>
      <c r="H775" s="51"/>
      <c r="I775" s="51"/>
      <c r="J775" s="51"/>
      <c r="K775" s="51"/>
    </row>
    <row r="776" spans="1:1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>
      <c r="A777" s="3" t="s">
        <v>3</v>
      </c>
      <c r="B777" s="3"/>
      <c r="C777" s="3"/>
      <c r="D777" s="3"/>
      <c r="E777" s="4" t="s">
        <v>4</v>
      </c>
      <c r="F777" s="40" t="s">
        <v>77</v>
      </c>
      <c r="G777" s="3"/>
      <c r="H777" s="3"/>
      <c r="I777" s="3"/>
      <c r="J777" s="3"/>
      <c r="K777" s="3"/>
    </row>
    <row r="778" spans="1:11">
      <c r="A778" s="5" t="s">
        <v>5</v>
      </c>
      <c r="B778" s="5"/>
      <c r="C778" s="5"/>
      <c r="D778" s="5"/>
      <c r="E778" s="4" t="s">
        <v>4</v>
      </c>
      <c r="F778" s="45" t="s">
        <v>64</v>
      </c>
      <c r="G778" s="3"/>
      <c r="H778" s="3"/>
      <c r="I778" s="3"/>
      <c r="J778" s="3"/>
      <c r="K778" s="3"/>
    </row>
    <row r="779" spans="1:11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thickTop="1">
      <c r="A780" s="6" t="s">
        <v>6</v>
      </c>
      <c r="B780" s="53" t="s">
        <v>7</v>
      </c>
      <c r="C780" s="54"/>
      <c r="D780" s="54"/>
      <c r="E780" s="54"/>
      <c r="F780" s="54"/>
      <c r="G780" s="54"/>
      <c r="H780" s="55"/>
      <c r="I780" s="56" t="s">
        <v>8</v>
      </c>
      <c r="J780" s="57"/>
      <c r="K780" s="7" t="s">
        <v>9</v>
      </c>
    </row>
    <row r="781" spans="1:11">
      <c r="A781" s="8"/>
      <c r="B781" s="9"/>
      <c r="C781" s="10"/>
      <c r="D781" s="10"/>
      <c r="E781" s="10"/>
      <c r="F781" s="10"/>
      <c r="G781" s="10"/>
      <c r="H781" s="11"/>
      <c r="I781" s="29"/>
      <c r="J781" s="30"/>
      <c r="K781" s="58"/>
    </row>
    <row r="782" spans="1:11">
      <c r="A782" s="8" t="s">
        <v>10</v>
      </c>
      <c r="B782" s="61" t="s">
        <v>102</v>
      </c>
      <c r="C782" s="62"/>
      <c r="D782" s="62"/>
      <c r="E782" s="62"/>
      <c r="F782" s="62"/>
      <c r="G782" s="62"/>
      <c r="H782" s="63"/>
      <c r="I782" s="31"/>
      <c r="J782" s="32"/>
      <c r="K782" s="59"/>
    </row>
    <row r="783" spans="1:11">
      <c r="A783" s="8"/>
      <c r="B783" s="12">
        <v>2</v>
      </c>
      <c r="C783" s="3" t="s">
        <v>103</v>
      </c>
      <c r="D783" s="3"/>
      <c r="E783" s="3"/>
      <c r="F783" s="4"/>
      <c r="G783" s="4" t="s">
        <v>12</v>
      </c>
      <c r="H783" s="13">
        <v>150000</v>
      </c>
      <c r="I783" s="31" t="s">
        <v>12</v>
      </c>
      <c r="J783" s="32">
        <f>H783*B783</f>
        <v>300000</v>
      </c>
      <c r="K783" s="59"/>
    </row>
    <row r="784" spans="1:11">
      <c r="A784" s="8"/>
      <c r="B784" s="14" t="s">
        <v>14</v>
      </c>
      <c r="C784" s="15"/>
      <c r="D784" s="15"/>
      <c r="E784" s="15"/>
      <c r="F784" s="15"/>
      <c r="G784" s="15"/>
      <c r="H784" s="16"/>
      <c r="I784" s="35" t="s">
        <v>12</v>
      </c>
      <c r="J784" s="36">
        <f>SUM(J783:J783)</f>
        <v>300000</v>
      </c>
      <c r="K784" s="60"/>
    </row>
    <row r="785" spans="1:11" ht="15.75" thickBot="1">
      <c r="A785" s="17"/>
      <c r="B785" s="18" t="s">
        <v>15</v>
      </c>
      <c r="C785" s="19"/>
      <c r="D785" s="18" t="s">
        <v>78</v>
      </c>
      <c r="E785" s="18"/>
      <c r="F785" s="19"/>
      <c r="G785" s="19"/>
      <c r="H785" s="19"/>
      <c r="I785" s="19"/>
      <c r="J785" s="19"/>
      <c r="K785" s="37"/>
    </row>
    <row r="786" spans="1:11" ht="15.75" thickTop="1">
      <c r="A786" s="20"/>
      <c r="B786" s="21"/>
      <c r="C786" s="22"/>
      <c r="D786" s="21"/>
      <c r="E786" s="21"/>
      <c r="F786" s="22"/>
      <c r="G786" s="22"/>
      <c r="H786" s="22"/>
      <c r="I786" s="22"/>
      <c r="J786" s="22"/>
      <c r="K786" s="22"/>
    </row>
    <row r="787" spans="1:11">
      <c r="A787" s="3"/>
      <c r="B787" s="3"/>
      <c r="C787" s="3"/>
      <c r="D787" s="3"/>
      <c r="E787" s="3"/>
      <c r="F787" s="3"/>
      <c r="G787" s="3"/>
      <c r="H787" s="3"/>
      <c r="I787" s="5" t="s">
        <v>65</v>
      </c>
      <c r="J787" s="3"/>
      <c r="K787" s="5"/>
    </row>
    <row r="788" spans="1:11">
      <c r="A788" s="3"/>
      <c r="B788" s="3" t="s">
        <v>16</v>
      </c>
      <c r="C788" s="3"/>
      <c r="D788" s="3"/>
      <c r="E788" s="3"/>
      <c r="F788" s="3"/>
      <c r="G788" s="3"/>
      <c r="H788" s="3"/>
      <c r="I788" s="5" t="s">
        <v>17</v>
      </c>
      <c r="J788" s="4"/>
      <c r="K788" s="4"/>
    </row>
    <row r="789" spans="1:11">
      <c r="A789" s="3"/>
      <c r="B789" s="5" t="s">
        <v>12</v>
      </c>
      <c r="C789" s="48">
        <f>J784</f>
        <v>300000</v>
      </c>
      <c r="D789" s="48"/>
      <c r="E789" s="23"/>
      <c r="F789" s="3"/>
      <c r="G789" s="3"/>
      <c r="H789" s="3"/>
      <c r="I789" s="5" t="s">
        <v>12</v>
      </c>
      <c r="J789" s="38">
        <f>C789</f>
        <v>300000</v>
      </c>
      <c r="K789" s="3"/>
    </row>
    <row r="790" spans="1:1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>
      <c r="A791" s="3"/>
      <c r="B791" s="3" t="s">
        <v>18</v>
      </c>
      <c r="C791" s="3"/>
      <c r="D791" s="3"/>
      <c r="E791" s="3"/>
      <c r="F791" s="3"/>
      <c r="G791" s="3"/>
      <c r="H791" s="3"/>
      <c r="I791" s="5" t="s">
        <v>19</v>
      </c>
      <c r="J791" s="3"/>
      <c r="K791" s="4"/>
    </row>
    <row r="792" spans="1:1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>
      <c r="A795" s="3"/>
      <c r="B795" s="24" t="s">
        <v>32</v>
      </c>
      <c r="C795" s="24"/>
      <c r="D795" s="25"/>
      <c r="E795" s="25"/>
      <c r="F795" s="26"/>
      <c r="G795" s="26"/>
      <c r="H795" s="3"/>
      <c r="I795" s="26" t="s">
        <v>33</v>
      </c>
      <c r="J795" s="25"/>
      <c r="K795" s="25"/>
    </row>
    <row r="796" spans="1:1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 spans="1:11">
      <c r="A798" s="49" t="s">
        <v>20</v>
      </c>
      <c r="B798" s="49"/>
      <c r="C798" s="49"/>
      <c r="D798" s="49"/>
      <c r="E798" s="49"/>
      <c r="F798" s="49"/>
      <c r="G798" s="49"/>
      <c r="H798" s="49"/>
      <c r="I798" s="49"/>
      <c r="J798" s="49"/>
      <c r="K798" s="49"/>
    </row>
    <row r="799" spans="1:1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>
      <c r="A800" s="3"/>
      <c r="B800" s="3" t="s">
        <v>21</v>
      </c>
      <c r="C800" s="3"/>
      <c r="D800" s="3"/>
      <c r="E800" s="3"/>
      <c r="F800" s="3"/>
      <c r="G800" s="3"/>
      <c r="H800" s="3"/>
      <c r="I800" s="3" t="s">
        <v>22</v>
      </c>
      <c r="J800" s="38">
        <f>(J784)</f>
        <v>300000</v>
      </c>
      <c r="K800" s="23"/>
    </row>
    <row r="801" spans="1:11">
      <c r="A801" s="3"/>
      <c r="B801" s="3" t="s">
        <v>23</v>
      </c>
      <c r="C801" s="3"/>
      <c r="D801" s="3"/>
      <c r="E801" s="3"/>
      <c r="F801" s="3"/>
      <c r="G801" s="3"/>
      <c r="H801" s="3"/>
      <c r="I801" s="3" t="s">
        <v>22</v>
      </c>
      <c r="J801" s="39">
        <f>(J789)</f>
        <v>300000</v>
      </c>
      <c r="K801" s="3"/>
    </row>
    <row r="802" spans="1:11">
      <c r="A802" s="3"/>
      <c r="B802" s="3" t="s">
        <v>24</v>
      </c>
      <c r="C802" s="3"/>
      <c r="D802" s="3"/>
      <c r="E802" s="3"/>
      <c r="F802" s="3"/>
      <c r="G802" s="3"/>
      <c r="H802" s="3"/>
      <c r="I802" s="3" t="s">
        <v>22</v>
      </c>
      <c r="J802" s="23">
        <f>J800-J801</f>
        <v>0</v>
      </c>
      <c r="K802" s="3"/>
    </row>
    <row r="803" spans="1:1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>
      <c r="A804" s="3"/>
      <c r="B804" s="3"/>
      <c r="C804" s="3"/>
      <c r="D804" s="3"/>
      <c r="E804" s="3"/>
      <c r="F804" s="3"/>
      <c r="G804" s="3"/>
      <c r="H804" s="3"/>
      <c r="I804" s="3"/>
      <c r="J804" s="15" t="s">
        <v>25</v>
      </c>
      <c r="K804" s="4"/>
    </row>
    <row r="805" spans="1:11">
      <c r="A805" s="3"/>
      <c r="B805" s="3"/>
      <c r="C805" s="3"/>
      <c r="D805" s="3"/>
      <c r="E805" s="3"/>
      <c r="F805" s="3"/>
      <c r="G805" s="3"/>
      <c r="H805" s="3"/>
      <c r="I805" s="3"/>
      <c r="J805" s="5"/>
      <c r="K805" s="3"/>
    </row>
    <row r="806" spans="1:11">
      <c r="A806" s="3"/>
      <c r="B806" s="3"/>
      <c r="C806" s="3"/>
      <c r="D806" s="3"/>
      <c r="E806" s="3"/>
      <c r="F806" s="3"/>
      <c r="G806" s="3"/>
      <c r="H806" s="3"/>
      <c r="I806" s="3"/>
      <c r="J806" s="5"/>
      <c r="K806" s="3"/>
    </row>
    <row r="807" spans="1:11">
      <c r="A807" s="3"/>
      <c r="B807" s="3"/>
      <c r="C807" s="3"/>
      <c r="D807" s="3"/>
      <c r="E807" s="3"/>
      <c r="F807" s="3"/>
      <c r="G807" s="3"/>
      <c r="H807" s="3"/>
      <c r="I807" s="3"/>
      <c r="J807" s="5"/>
      <c r="K807" s="3"/>
    </row>
    <row r="808" spans="1:11">
      <c r="A808" s="3"/>
      <c r="B808" s="3"/>
      <c r="C808" s="3"/>
      <c r="D808" s="3"/>
      <c r="E808" s="3"/>
      <c r="F808" s="3"/>
      <c r="G808" s="3"/>
      <c r="H808" s="3"/>
      <c r="I808" s="3"/>
      <c r="J808" s="24" t="s">
        <v>26</v>
      </c>
      <c r="K808" s="3"/>
    </row>
    <row r="809" spans="1:1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</row>
    <row r="811" spans="1: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>
      <c r="A817" s="50" t="s">
        <v>0</v>
      </c>
      <c r="B817" s="50"/>
      <c r="C817" s="50"/>
      <c r="D817" s="50"/>
      <c r="E817" s="50"/>
      <c r="F817" s="50"/>
      <c r="G817" s="50"/>
      <c r="H817" s="50"/>
      <c r="I817" s="50"/>
      <c r="J817" s="50"/>
      <c r="K817" s="50"/>
    </row>
    <row r="818" spans="1:11">
      <c r="A818" s="52" t="s">
        <v>1</v>
      </c>
      <c r="B818" s="52"/>
      <c r="C818" s="52"/>
      <c r="D818" s="52"/>
      <c r="E818" s="52"/>
      <c r="F818" s="52"/>
      <c r="G818" s="52"/>
      <c r="H818" s="52"/>
      <c r="I818" s="52"/>
      <c r="J818" s="52"/>
      <c r="K818" s="52"/>
    </row>
    <row r="819" spans="1:1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>
      <c r="A820" s="51" t="s">
        <v>2</v>
      </c>
      <c r="B820" s="51"/>
      <c r="C820" s="51"/>
      <c r="D820" s="51"/>
      <c r="E820" s="51"/>
      <c r="F820" s="51"/>
      <c r="G820" s="51"/>
      <c r="H820" s="51"/>
      <c r="I820" s="51"/>
      <c r="J820" s="51"/>
      <c r="K820" s="51"/>
    </row>
    <row r="821" spans="1:1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>
      <c r="A822" s="3" t="s">
        <v>3</v>
      </c>
      <c r="B822" s="3"/>
      <c r="C822" s="3"/>
      <c r="D822" s="3"/>
      <c r="E822" s="4" t="s">
        <v>4</v>
      </c>
      <c r="F822" s="40" t="s">
        <v>79</v>
      </c>
      <c r="G822" s="3"/>
      <c r="H822" s="3"/>
      <c r="I822" s="3"/>
      <c r="J822" s="3"/>
      <c r="K822" s="3"/>
    </row>
    <row r="823" spans="1:11">
      <c r="A823" s="5" t="s">
        <v>5</v>
      </c>
      <c r="B823" s="5"/>
      <c r="C823" s="5"/>
      <c r="D823" s="5"/>
      <c r="E823" s="4" t="s">
        <v>4</v>
      </c>
      <c r="F823" s="45" t="s">
        <v>64</v>
      </c>
      <c r="G823" s="3"/>
      <c r="H823" s="3"/>
      <c r="I823" s="3"/>
      <c r="J823" s="3"/>
      <c r="K823" s="3"/>
    </row>
    <row r="824" spans="1:11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thickTop="1">
      <c r="A825" s="6" t="s">
        <v>6</v>
      </c>
      <c r="B825" s="53" t="s">
        <v>7</v>
      </c>
      <c r="C825" s="54"/>
      <c r="D825" s="54"/>
      <c r="E825" s="54"/>
      <c r="F825" s="54"/>
      <c r="G825" s="54"/>
      <c r="H825" s="55"/>
      <c r="I825" s="56" t="s">
        <v>8</v>
      </c>
      <c r="J825" s="57"/>
      <c r="K825" s="7" t="s">
        <v>9</v>
      </c>
    </row>
    <row r="826" spans="1:11">
      <c r="A826" s="8"/>
      <c r="B826" s="9"/>
      <c r="C826" s="10"/>
      <c r="D826" s="10"/>
      <c r="E826" s="10"/>
      <c r="F826" s="10"/>
      <c r="G826" s="10"/>
      <c r="H826" s="11"/>
      <c r="I826" s="29"/>
      <c r="J826" s="30"/>
      <c r="K826" s="58"/>
    </row>
    <row r="827" spans="1:11">
      <c r="A827" s="8" t="s">
        <v>10</v>
      </c>
      <c r="B827" s="61" t="s">
        <v>104</v>
      </c>
      <c r="C827" s="62"/>
      <c r="D827" s="62"/>
      <c r="E827" s="62"/>
      <c r="F827" s="62"/>
      <c r="G827" s="62"/>
      <c r="H827" s="63"/>
      <c r="I827" s="31"/>
      <c r="J827" s="32"/>
      <c r="K827" s="59"/>
    </row>
    <row r="828" spans="1:11">
      <c r="A828" s="8"/>
      <c r="B828" s="12">
        <v>2</v>
      </c>
      <c r="C828" s="3" t="s">
        <v>103</v>
      </c>
      <c r="D828" s="3"/>
      <c r="E828" s="3"/>
      <c r="F828" s="4"/>
      <c r="G828" s="4" t="s">
        <v>12</v>
      </c>
      <c r="H828" s="13">
        <v>150000</v>
      </c>
      <c r="I828" s="31" t="s">
        <v>12</v>
      </c>
      <c r="J828" s="32">
        <f>H828*B828</f>
        <v>300000</v>
      </c>
      <c r="K828" s="59"/>
    </row>
    <row r="829" spans="1:11">
      <c r="A829" s="8"/>
      <c r="B829" s="14" t="s">
        <v>14</v>
      </c>
      <c r="C829" s="15"/>
      <c r="D829" s="15"/>
      <c r="E829" s="15"/>
      <c r="F829" s="15"/>
      <c r="G829" s="15"/>
      <c r="H829" s="16"/>
      <c r="I829" s="35" t="s">
        <v>12</v>
      </c>
      <c r="J829" s="36">
        <f>SUM(J828:J828)</f>
        <v>300000</v>
      </c>
      <c r="K829" s="60"/>
    </row>
    <row r="830" spans="1:11" ht="15.75" thickBot="1">
      <c r="A830" s="17"/>
      <c r="B830" s="18" t="s">
        <v>15</v>
      </c>
      <c r="C830" s="19"/>
      <c r="D830" s="18" t="s">
        <v>78</v>
      </c>
      <c r="E830" s="18"/>
      <c r="F830" s="19"/>
      <c r="G830" s="19"/>
      <c r="H830" s="19"/>
      <c r="I830" s="19"/>
      <c r="J830" s="19"/>
      <c r="K830" s="37"/>
    </row>
    <row r="831" spans="1:11" ht="15.75" thickTop="1">
      <c r="A831" s="20"/>
      <c r="B831" s="21"/>
      <c r="C831" s="22"/>
      <c r="D831" s="21"/>
      <c r="E831" s="21"/>
      <c r="F831" s="22"/>
      <c r="G831" s="22"/>
      <c r="H831" s="22"/>
      <c r="I831" s="22"/>
      <c r="J831" s="22"/>
      <c r="K831" s="22"/>
    </row>
    <row r="832" spans="1:11">
      <c r="A832" s="3"/>
      <c r="B832" s="3"/>
      <c r="C832" s="3"/>
      <c r="D832" s="3"/>
      <c r="E832" s="3"/>
      <c r="F832" s="3"/>
      <c r="G832" s="3"/>
      <c r="H832" s="3"/>
      <c r="I832" s="5" t="s">
        <v>65</v>
      </c>
      <c r="J832" s="3"/>
      <c r="K832" s="5"/>
    </row>
    <row r="833" spans="1:11">
      <c r="A833" s="3"/>
      <c r="B833" s="3" t="s">
        <v>16</v>
      </c>
      <c r="C833" s="3"/>
      <c r="D833" s="3"/>
      <c r="E833" s="3"/>
      <c r="F833" s="3"/>
      <c r="G833" s="3"/>
      <c r="H833" s="3"/>
      <c r="I833" s="5" t="s">
        <v>17</v>
      </c>
      <c r="J833" s="4"/>
      <c r="K833" s="4"/>
    </row>
    <row r="834" spans="1:11">
      <c r="A834" s="3"/>
      <c r="B834" s="5" t="s">
        <v>12</v>
      </c>
      <c r="C834" s="48">
        <f>J829</f>
        <v>300000</v>
      </c>
      <c r="D834" s="48"/>
      <c r="E834" s="23"/>
      <c r="F834" s="3"/>
      <c r="G834" s="3"/>
      <c r="H834" s="3"/>
      <c r="I834" s="5" t="s">
        <v>12</v>
      </c>
      <c r="J834" s="38">
        <f>C834</f>
        <v>300000</v>
      </c>
      <c r="K834" s="3"/>
    </row>
    <row r="835" spans="1:1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>
      <c r="A836" s="3"/>
      <c r="B836" s="3" t="s">
        <v>18</v>
      </c>
      <c r="C836" s="3"/>
      <c r="D836" s="3"/>
      <c r="E836" s="3"/>
      <c r="F836" s="3"/>
      <c r="G836" s="3"/>
      <c r="H836" s="3"/>
      <c r="I836" s="5" t="s">
        <v>19</v>
      </c>
      <c r="J836" s="3"/>
      <c r="K836" s="4"/>
    </row>
    <row r="837" spans="1:1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>
      <c r="A840" s="3"/>
      <c r="B840" s="24" t="s">
        <v>32</v>
      </c>
      <c r="C840" s="24"/>
      <c r="D840" s="25"/>
      <c r="E840" s="25"/>
      <c r="F840" s="26"/>
      <c r="G840" s="26"/>
      <c r="H840" s="3"/>
      <c r="I840" s="26" t="s">
        <v>80</v>
      </c>
      <c r="J840" s="25"/>
      <c r="K840" s="25"/>
    </row>
    <row r="841" spans="1:1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 spans="1:11">
      <c r="A843" s="49" t="s">
        <v>20</v>
      </c>
      <c r="B843" s="49"/>
      <c r="C843" s="49"/>
      <c r="D843" s="49"/>
      <c r="E843" s="49"/>
      <c r="F843" s="49"/>
      <c r="G843" s="49"/>
      <c r="H843" s="49"/>
      <c r="I843" s="49"/>
      <c r="J843" s="49"/>
      <c r="K843" s="49"/>
    </row>
    <row r="844" spans="1:1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>
      <c r="A845" s="3"/>
      <c r="B845" s="3" t="s">
        <v>21</v>
      </c>
      <c r="C845" s="3"/>
      <c r="D845" s="3"/>
      <c r="E845" s="3"/>
      <c r="F845" s="3"/>
      <c r="G845" s="3"/>
      <c r="H845" s="3"/>
      <c r="I845" s="3" t="s">
        <v>22</v>
      </c>
      <c r="J845" s="38">
        <f>(J829)</f>
        <v>300000</v>
      </c>
      <c r="K845" s="23"/>
    </row>
    <row r="846" spans="1:11">
      <c r="A846" s="3"/>
      <c r="B846" s="3" t="s">
        <v>23</v>
      </c>
      <c r="C846" s="3"/>
      <c r="D846" s="3"/>
      <c r="E846" s="3"/>
      <c r="F846" s="3"/>
      <c r="G846" s="3"/>
      <c r="H846" s="3"/>
      <c r="I846" s="3" t="s">
        <v>22</v>
      </c>
      <c r="J846" s="39">
        <f>(J834)</f>
        <v>300000</v>
      </c>
      <c r="K846" s="3"/>
    </row>
    <row r="847" spans="1:11">
      <c r="A847" s="3"/>
      <c r="B847" s="3" t="s">
        <v>24</v>
      </c>
      <c r="C847" s="3"/>
      <c r="D847" s="3"/>
      <c r="E847" s="3"/>
      <c r="F847" s="3"/>
      <c r="G847" s="3"/>
      <c r="H847" s="3"/>
      <c r="I847" s="3" t="s">
        <v>22</v>
      </c>
      <c r="J847" s="23">
        <f>J845-J846</f>
        <v>0</v>
      </c>
      <c r="K847" s="3"/>
    </row>
    <row r="848" spans="1:1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>
      <c r="A849" s="3"/>
      <c r="B849" s="3"/>
      <c r="C849" s="3"/>
      <c r="D849" s="3"/>
      <c r="E849" s="3"/>
      <c r="F849" s="3"/>
      <c r="G849" s="3"/>
      <c r="H849" s="3"/>
      <c r="I849" s="3"/>
      <c r="J849" s="15" t="s">
        <v>25</v>
      </c>
      <c r="K849" s="4"/>
    </row>
    <row r="850" spans="1:11">
      <c r="A850" s="3"/>
      <c r="B850" s="3"/>
      <c r="C850" s="3"/>
      <c r="D850" s="3"/>
      <c r="E850" s="3"/>
      <c r="F850" s="3"/>
      <c r="G850" s="3"/>
      <c r="H850" s="3"/>
      <c r="I850" s="3"/>
      <c r="J850" s="5"/>
      <c r="K850" s="3"/>
    </row>
    <row r="851" spans="1:11">
      <c r="A851" s="3"/>
      <c r="B851" s="3"/>
      <c r="C851" s="3"/>
      <c r="D851" s="3"/>
      <c r="E851" s="3"/>
      <c r="F851" s="3"/>
      <c r="G851" s="3"/>
      <c r="H851" s="3"/>
      <c r="I851" s="3"/>
      <c r="J851" s="5"/>
      <c r="K851" s="3"/>
    </row>
    <row r="852" spans="1:11">
      <c r="A852" s="3"/>
      <c r="B852" s="3"/>
      <c r="C852" s="3"/>
      <c r="D852" s="3"/>
      <c r="E852" s="3"/>
      <c r="F852" s="3"/>
      <c r="G852" s="3"/>
      <c r="H852" s="3"/>
      <c r="I852" s="3"/>
      <c r="J852" s="5"/>
      <c r="K852" s="3"/>
    </row>
    <row r="853" spans="1:11">
      <c r="A853" s="3"/>
      <c r="B853" s="3"/>
      <c r="C853" s="3"/>
      <c r="D853" s="3"/>
      <c r="E853" s="3"/>
      <c r="F853" s="3"/>
      <c r="G853" s="3"/>
      <c r="H853" s="3"/>
      <c r="I853" s="3"/>
      <c r="J853" s="24" t="s">
        <v>26</v>
      </c>
      <c r="K853" s="3"/>
    </row>
    <row r="854" spans="1:1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</row>
    <row r="857" spans="1:1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>
      <c r="A863" s="50" t="s">
        <v>0</v>
      </c>
      <c r="B863" s="50"/>
      <c r="C863" s="50"/>
      <c r="D863" s="50"/>
      <c r="E863" s="50"/>
      <c r="F863" s="50"/>
      <c r="G863" s="50"/>
      <c r="H863" s="50"/>
      <c r="I863" s="50"/>
      <c r="J863" s="50"/>
      <c r="K863" s="50"/>
    </row>
    <row r="864" spans="1:11">
      <c r="A864" s="52" t="s">
        <v>1</v>
      </c>
      <c r="B864" s="52"/>
      <c r="C864" s="52"/>
      <c r="D864" s="52"/>
      <c r="E864" s="52"/>
      <c r="F864" s="52"/>
      <c r="G864" s="52"/>
      <c r="H864" s="52"/>
      <c r="I864" s="52"/>
      <c r="J864" s="52"/>
      <c r="K864" s="52"/>
    </row>
    <row r="865" spans="1:1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>
      <c r="A866" s="51" t="s">
        <v>2</v>
      </c>
      <c r="B866" s="51"/>
      <c r="C866" s="51"/>
      <c r="D866" s="51"/>
      <c r="E866" s="51"/>
      <c r="F866" s="51"/>
      <c r="G866" s="51"/>
      <c r="H866" s="51"/>
      <c r="I866" s="51"/>
      <c r="J866" s="51"/>
      <c r="K866" s="51"/>
    </row>
    <row r="867" spans="1:1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>
      <c r="A868" s="3" t="s">
        <v>3</v>
      </c>
      <c r="B868" s="3"/>
      <c r="C868" s="3"/>
      <c r="D868" s="3"/>
      <c r="E868" s="4" t="s">
        <v>4</v>
      </c>
      <c r="F868" s="40" t="s">
        <v>81</v>
      </c>
      <c r="G868" s="3"/>
      <c r="H868" s="3"/>
      <c r="I868" s="3"/>
      <c r="J868" s="3"/>
      <c r="K868" s="3"/>
    </row>
    <row r="869" spans="1:11">
      <c r="A869" s="5" t="s">
        <v>5</v>
      </c>
      <c r="B869" s="5"/>
      <c r="C869" s="5"/>
      <c r="D869" s="5"/>
      <c r="E869" s="4" t="s">
        <v>4</v>
      </c>
      <c r="F869" s="45" t="s">
        <v>64</v>
      </c>
      <c r="G869" s="3"/>
      <c r="H869" s="3"/>
      <c r="I869" s="3"/>
      <c r="J869" s="3"/>
      <c r="K869" s="3"/>
    </row>
    <row r="870" spans="1:11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thickTop="1">
      <c r="A871" s="6" t="s">
        <v>6</v>
      </c>
      <c r="B871" s="53" t="s">
        <v>7</v>
      </c>
      <c r="C871" s="54"/>
      <c r="D871" s="54"/>
      <c r="E871" s="54"/>
      <c r="F871" s="54"/>
      <c r="G871" s="54"/>
      <c r="H871" s="55"/>
      <c r="I871" s="56" t="s">
        <v>8</v>
      </c>
      <c r="J871" s="57"/>
      <c r="K871" s="7" t="s">
        <v>9</v>
      </c>
    </row>
    <row r="872" spans="1:11">
      <c r="A872" s="8"/>
      <c r="B872" s="9"/>
      <c r="C872" s="10"/>
      <c r="D872" s="10"/>
      <c r="E872" s="10"/>
      <c r="F872" s="10"/>
      <c r="G872" s="10"/>
      <c r="H872" s="11"/>
      <c r="I872" s="29"/>
      <c r="J872" s="30"/>
      <c r="K872" s="58"/>
    </row>
    <row r="873" spans="1:11">
      <c r="A873" s="8" t="s">
        <v>10</v>
      </c>
      <c r="B873" s="61" t="s">
        <v>27</v>
      </c>
      <c r="C873" s="62"/>
      <c r="D873" s="62"/>
      <c r="E873" s="62"/>
      <c r="F873" s="62"/>
      <c r="G873" s="62"/>
      <c r="H873" s="63"/>
      <c r="I873" s="31"/>
      <c r="J873" s="32"/>
      <c r="K873" s="59"/>
    </row>
    <row r="874" spans="1:11">
      <c r="A874" s="8"/>
      <c r="B874" s="46"/>
      <c r="C874" s="5" t="s">
        <v>37</v>
      </c>
      <c r="D874" s="5"/>
      <c r="E874" s="5"/>
      <c r="F874" s="5"/>
      <c r="G874" s="4" t="s">
        <v>12</v>
      </c>
      <c r="H874" s="13">
        <v>300000</v>
      </c>
      <c r="I874" s="31" t="s">
        <v>12</v>
      </c>
      <c r="J874" s="32">
        <f>H874</f>
        <v>300000</v>
      </c>
      <c r="K874" s="59"/>
    </row>
    <row r="875" spans="1:11">
      <c r="A875" s="8">
        <v>2</v>
      </c>
      <c r="B875" s="46" t="s">
        <v>104</v>
      </c>
      <c r="C875" s="5"/>
      <c r="D875" s="5"/>
      <c r="E875" s="5"/>
      <c r="F875" s="5"/>
      <c r="G875" s="5"/>
      <c r="H875" s="47"/>
      <c r="I875" s="31"/>
      <c r="J875" s="32"/>
      <c r="K875" s="59"/>
    </row>
    <row r="876" spans="1:11">
      <c r="A876" s="8"/>
      <c r="B876" s="46">
        <v>2</v>
      </c>
      <c r="C876" s="5" t="s">
        <v>104</v>
      </c>
      <c r="D876" s="5"/>
      <c r="E876" s="5"/>
      <c r="F876" s="5"/>
      <c r="G876" s="4" t="s">
        <v>12</v>
      </c>
      <c r="H876" s="13">
        <v>150000</v>
      </c>
      <c r="I876" s="31" t="s">
        <v>12</v>
      </c>
      <c r="J876" s="32">
        <f>H876*B876</f>
        <v>300000</v>
      </c>
      <c r="K876" s="59"/>
    </row>
    <row r="877" spans="1:11">
      <c r="A877" s="8"/>
      <c r="B877" s="14" t="s">
        <v>14</v>
      </c>
      <c r="C877" s="15"/>
      <c r="D877" s="15"/>
      <c r="E877" s="15"/>
      <c r="F877" s="15"/>
      <c r="G877" s="15"/>
      <c r="H877" s="16"/>
      <c r="I877" s="35" t="s">
        <v>12</v>
      </c>
      <c r="J877" s="36">
        <f>SUM(J874:J876)</f>
        <v>600000</v>
      </c>
      <c r="K877" s="60"/>
    </row>
    <row r="878" spans="1:11" ht="15.75" thickBot="1">
      <c r="A878" s="17"/>
      <c r="B878" s="18" t="s">
        <v>15</v>
      </c>
      <c r="C878" s="19"/>
      <c r="D878" s="18" t="s">
        <v>105</v>
      </c>
      <c r="E878" s="18"/>
      <c r="F878" s="19"/>
      <c r="G878" s="19"/>
      <c r="H878" s="19"/>
      <c r="I878" s="19"/>
      <c r="J878" s="19"/>
      <c r="K878" s="37"/>
    </row>
    <row r="879" spans="1:11" ht="15.75" thickTop="1">
      <c r="A879" s="20"/>
      <c r="B879" s="21"/>
      <c r="C879" s="22"/>
      <c r="D879" s="21"/>
      <c r="E879" s="21"/>
      <c r="F879" s="22"/>
      <c r="G879" s="22"/>
      <c r="H879" s="22"/>
      <c r="I879" s="22"/>
      <c r="J879" s="22"/>
      <c r="K879" s="22"/>
    </row>
    <row r="880" spans="1:11">
      <c r="A880" s="3"/>
      <c r="B880" s="3"/>
      <c r="C880" s="3"/>
      <c r="D880" s="3"/>
      <c r="E880" s="3"/>
      <c r="F880" s="3"/>
      <c r="G880" s="3"/>
      <c r="H880" s="3"/>
      <c r="I880" s="5" t="s">
        <v>65</v>
      </c>
      <c r="J880" s="3"/>
      <c r="K880" s="5"/>
    </row>
    <row r="881" spans="1:11">
      <c r="A881" s="3"/>
      <c r="B881" s="3" t="s">
        <v>16</v>
      </c>
      <c r="C881" s="3"/>
      <c r="D881" s="3"/>
      <c r="E881" s="3"/>
      <c r="F881" s="3"/>
      <c r="G881" s="3"/>
      <c r="H881" s="3"/>
      <c r="I881" s="5" t="s">
        <v>17</v>
      </c>
      <c r="J881" s="4"/>
      <c r="K881" s="4"/>
    </row>
    <row r="882" spans="1:11">
      <c r="A882" s="3"/>
      <c r="B882" s="5" t="s">
        <v>12</v>
      </c>
      <c r="C882" s="48">
        <f>J877</f>
        <v>600000</v>
      </c>
      <c r="D882" s="48"/>
      <c r="E882" s="23"/>
      <c r="F882" s="3"/>
      <c r="G882" s="3"/>
      <c r="H882" s="3"/>
      <c r="I882" s="5" t="s">
        <v>12</v>
      </c>
      <c r="J882" s="38">
        <f>C882</f>
        <v>600000</v>
      </c>
      <c r="K882" s="3"/>
    </row>
    <row r="883" spans="1:1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>
      <c r="A884" s="3"/>
      <c r="B884" s="3" t="s">
        <v>18</v>
      </c>
      <c r="C884" s="3"/>
      <c r="D884" s="3"/>
      <c r="E884" s="3"/>
      <c r="F884" s="3"/>
      <c r="G884" s="3"/>
      <c r="H884" s="3"/>
      <c r="I884" s="5" t="s">
        <v>19</v>
      </c>
      <c r="J884" s="3"/>
      <c r="K884" s="4"/>
    </row>
    <row r="885" spans="1:1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>
      <c r="A888" s="3"/>
      <c r="B888" s="24" t="s">
        <v>32</v>
      </c>
      <c r="C888" s="24"/>
      <c r="D888" s="25"/>
      <c r="E888" s="25"/>
      <c r="F888" s="26"/>
      <c r="G888" s="26"/>
      <c r="H888" s="3"/>
      <c r="I888" s="26" t="s">
        <v>82</v>
      </c>
      <c r="J888" s="25"/>
      <c r="K888" s="25"/>
    </row>
    <row r="889" spans="1:1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</row>
    <row r="891" spans="1:11">
      <c r="A891" s="49" t="s">
        <v>20</v>
      </c>
      <c r="B891" s="49"/>
      <c r="C891" s="49"/>
      <c r="D891" s="49"/>
      <c r="E891" s="49"/>
      <c r="F891" s="49"/>
      <c r="G891" s="49"/>
      <c r="H891" s="49"/>
      <c r="I891" s="49"/>
      <c r="J891" s="49"/>
      <c r="K891" s="49"/>
    </row>
    <row r="892" spans="1:1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>
      <c r="A893" s="3"/>
      <c r="B893" s="3" t="s">
        <v>21</v>
      </c>
      <c r="C893" s="3"/>
      <c r="D893" s="3"/>
      <c r="E893" s="3"/>
      <c r="F893" s="3"/>
      <c r="G893" s="3"/>
      <c r="H893" s="3"/>
      <c r="I893" s="3" t="s">
        <v>22</v>
      </c>
      <c r="J893" s="38">
        <f>(J877)</f>
        <v>600000</v>
      </c>
      <c r="K893" s="23"/>
    </row>
    <row r="894" spans="1:11">
      <c r="A894" s="3"/>
      <c r="B894" s="3" t="s">
        <v>23</v>
      </c>
      <c r="C894" s="3"/>
      <c r="D894" s="3"/>
      <c r="E894" s="3"/>
      <c r="F894" s="3"/>
      <c r="G894" s="3"/>
      <c r="H894" s="3"/>
      <c r="I894" s="3" t="s">
        <v>22</v>
      </c>
      <c r="J894" s="39">
        <f>(J882)</f>
        <v>600000</v>
      </c>
      <c r="K894" s="3"/>
    </row>
    <row r="895" spans="1:11">
      <c r="A895" s="3"/>
      <c r="B895" s="3" t="s">
        <v>24</v>
      </c>
      <c r="C895" s="3"/>
      <c r="D895" s="3"/>
      <c r="E895" s="3"/>
      <c r="F895" s="3"/>
      <c r="G895" s="3"/>
      <c r="H895" s="3"/>
      <c r="I895" s="3" t="s">
        <v>22</v>
      </c>
      <c r="J895" s="23">
        <f>J893-J894</f>
        <v>0</v>
      </c>
      <c r="K895" s="3"/>
    </row>
    <row r="896" spans="1:1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>
      <c r="A897" s="3"/>
      <c r="B897" s="3"/>
      <c r="C897" s="3"/>
      <c r="D897" s="3"/>
      <c r="E897" s="3"/>
      <c r="F897" s="3"/>
      <c r="G897" s="3"/>
      <c r="H897" s="3"/>
      <c r="I897" s="3"/>
      <c r="J897" s="15" t="s">
        <v>25</v>
      </c>
      <c r="K897" s="4"/>
    </row>
    <row r="898" spans="1:11">
      <c r="A898" s="3"/>
      <c r="B898" s="3"/>
      <c r="C898" s="3"/>
      <c r="D898" s="3"/>
      <c r="E898" s="3"/>
      <c r="F898" s="3"/>
      <c r="G898" s="3"/>
      <c r="H898" s="3"/>
      <c r="I898" s="3"/>
      <c r="J898" s="5"/>
      <c r="K898" s="3"/>
    </row>
    <row r="899" spans="1:11">
      <c r="A899" s="3"/>
      <c r="B899" s="3"/>
      <c r="C899" s="3"/>
      <c r="D899" s="3"/>
      <c r="E899" s="3"/>
      <c r="F899" s="3"/>
      <c r="G899" s="3"/>
      <c r="H899" s="3"/>
      <c r="I899" s="3"/>
      <c r="J899" s="5"/>
      <c r="K899" s="3"/>
    </row>
    <row r="900" spans="1:11">
      <c r="A900" s="3"/>
      <c r="B900" s="3"/>
      <c r="C900" s="3"/>
      <c r="D900" s="3"/>
      <c r="E900" s="3"/>
      <c r="F900" s="3"/>
      <c r="G900" s="3"/>
      <c r="H900" s="3"/>
      <c r="I900" s="3"/>
      <c r="J900" s="5"/>
      <c r="K900" s="3"/>
    </row>
    <row r="901" spans="1:11">
      <c r="A901" s="3"/>
      <c r="B901" s="3"/>
      <c r="C901" s="3"/>
      <c r="D901" s="3"/>
      <c r="E901" s="3"/>
      <c r="F901" s="3"/>
      <c r="G901" s="3"/>
      <c r="H901" s="3"/>
      <c r="I901" s="3"/>
      <c r="J901" s="24" t="s">
        <v>26</v>
      </c>
      <c r="K901" s="3"/>
    </row>
    <row r="902" spans="1:1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</row>
    <row r="904" spans="1:1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>
      <c r="A910" s="50" t="s">
        <v>0</v>
      </c>
      <c r="B910" s="50"/>
      <c r="C910" s="50"/>
      <c r="D910" s="50"/>
      <c r="E910" s="50"/>
      <c r="F910" s="50"/>
      <c r="G910" s="50"/>
      <c r="H910" s="50"/>
      <c r="I910" s="50"/>
      <c r="J910" s="50"/>
      <c r="K910" s="50"/>
    </row>
    <row r="911" spans="1:11">
      <c r="A911" s="52" t="s">
        <v>1</v>
      </c>
      <c r="B911" s="52"/>
      <c r="C911" s="52"/>
      <c r="D911" s="52"/>
      <c r="E911" s="52"/>
      <c r="F911" s="52"/>
      <c r="G911" s="52"/>
      <c r="H911" s="52"/>
      <c r="I911" s="52"/>
      <c r="J911" s="52"/>
      <c r="K911" s="52"/>
    </row>
    <row r="912" spans="1:1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>
      <c r="A913" s="51" t="s">
        <v>2</v>
      </c>
      <c r="B913" s="51"/>
      <c r="C913" s="51"/>
      <c r="D913" s="51"/>
      <c r="E913" s="51"/>
      <c r="F913" s="51"/>
      <c r="G913" s="51"/>
      <c r="H913" s="51"/>
      <c r="I913" s="51"/>
      <c r="J913" s="51"/>
      <c r="K913" s="51"/>
    </row>
    <row r="914" spans="1:1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>
      <c r="A915" s="3" t="s">
        <v>3</v>
      </c>
      <c r="B915" s="3"/>
      <c r="C915" s="3"/>
      <c r="D915" s="3"/>
      <c r="E915" s="4" t="s">
        <v>4</v>
      </c>
      <c r="F915" s="40" t="s">
        <v>83</v>
      </c>
      <c r="G915" s="3"/>
      <c r="H915" s="3"/>
      <c r="I915" s="3"/>
      <c r="J915" s="3"/>
      <c r="K915" s="3"/>
    </row>
    <row r="916" spans="1:11">
      <c r="A916" s="5" t="s">
        <v>5</v>
      </c>
      <c r="B916" s="5"/>
      <c r="C916" s="5"/>
      <c r="D916" s="5"/>
      <c r="E916" s="4" t="s">
        <v>4</v>
      </c>
      <c r="F916" s="45" t="s">
        <v>64</v>
      </c>
      <c r="G916" s="3"/>
      <c r="H916" s="3"/>
      <c r="I916" s="3"/>
      <c r="J916" s="3"/>
      <c r="K916" s="3"/>
    </row>
    <row r="917" spans="1:11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thickTop="1">
      <c r="A918" s="6" t="s">
        <v>6</v>
      </c>
      <c r="B918" s="53" t="s">
        <v>7</v>
      </c>
      <c r="C918" s="54"/>
      <c r="D918" s="54"/>
      <c r="E918" s="54"/>
      <c r="F918" s="54"/>
      <c r="G918" s="54"/>
      <c r="H918" s="55"/>
      <c r="I918" s="56" t="s">
        <v>8</v>
      </c>
      <c r="J918" s="57"/>
      <c r="K918" s="7" t="s">
        <v>9</v>
      </c>
    </row>
    <row r="919" spans="1:11">
      <c r="A919" s="8"/>
      <c r="B919" s="9"/>
      <c r="C919" s="10"/>
      <c r="D919" s="10"/>
      <c r="E919" s="10"/>
      <c r="F919" s="10"/>
      <c r="G919" s="10"/>
      <c r="H919" s="11"/>
      <c r="I919" s="29"/>
      <c r="J919" s="30"/>
      <c r="K919" s="58"/>
    </row>
    <row r="920" spans="1:11">
      <c r="A920" s="8" t="s">
        <v>10</v>
      </c>
      <c r="B920" s="61" t="s">
        <v>104</v>
      </c>
      <c r="C920" s="62"/>
      <c r="D920" s="62"/>
      <c r="E920" s="62"/>
      <c r="F920" s="62"/>
      <c r="G920" s="62"/>
      <c r="H920" s="63"/>
      <c r="I920" s="31"/>
      <c r="J920" s="32"/>
      <c r="K920" s="59"/>
    </row>
    <row r="921" spans="1:11">
      <c r="A921" s="8"/>
      <c r="B921" s="12">
        <v>2</v>
      </c>
      <c r="C921" s="3" t="s">
        <v>103</v>
      </c>
      <c r="D921" s="3"/>
      <c r="E921" s="3"/>
      <c r="F921" s="4"/>
      <c r="G921" s="4" t="s">
        <v>12</v>
      </c>
      <c r="H921" s="13">
        <v>150000</v>
      </c>
      <c r="I921" s="31" t="s">
        <v>12</v>
      </c>
      <c r="J921" s="32">
        <f>H921*B921</f>
        <v>300000</v>
      </c>
      <c r="K921" s="59"/>
    </row>
    <row r="922" spans="1:11">
      <c r="A922" s="8"/>
      <c r="B922" s="14" t="s">
        <v>14</v>
      </c>
      <c r="C922" s="15"/>
      <c r="D922" s="15"/>
      <c r="E922" s="15"/>
      <c r="F922" s="15"/>
      <c r="G922" s="15"/>
      <c r="H922" s="16"/>
      <c r="I922" s="35" t="s">
        <v>12</v>
      </c>
      <c r="J922" s="36">
        <f>SUM(J921:J921)</f>
        <v>300000</v>
      </c>
      <c r="K922" s="60"/>
    </row>
    <row r="923" spans="1:11" ht="15.75" thickBot="1">
      <c r="A923" s="17"/>
      <c r="B923" s="18" t="s">
        <v>15</v>
      </c>
      <c r="C923" s="19"/>
      <c r="D923" s="18" t="s">
        <v>78</v>
      </c>
      <c r="E923" s="18"/>
      <c r="F923" s="19"/>
      <c r="G923" s="19"/>
      <c r="H923" s="19"/>
      <c r="I923" s="19"/>
      <c r="J923" s="19"/>
      <c r="K923" s="37"/>
    </row>
    <row r="924" spans="1:11" ht="15.75" thickTop="1">
      <c r="A924" s="20"/>
      <c r="B924" s="21"/>
      <c r="C924" s="22"/>
      <c r="D924" s="21"/>
      <c r="E924" s="21"/>
      <c r="F924" s="22"/>
      <c r="G924" s="22"/>
      <c r="H924" s="22"/>
      <c r="I924" s="22"/>
      <c r="J924" s="22"/>
      <c r="K924" s="22"/>
    </row>
    <row r="925" spans="1:11">
      <c r="A925" s="3"/>
      <c r="B925" s="3"/>
      <c r="C925" s="3"/>
      <c r="D925" s="3"/>
      <c r="E925" s="3"/>
      <c r="F925" s="3"/>
      <c r="G925" s="3"/>
      <c r="H925" s="3"/>
      <c r="I925" s="5" t="s">
        <v>65</v>
      </c>
      <c r="J925" s="3"/>
      <c r="K925" s="5"/>
    </row>
    <row r="926" spans="1:11">
      <c r="A926" s="3"/>
      <c r="B926" s="3" t="s">
        <v>16</v>
      </c>
      <c r="C926" s="3"/>
      <c r="D926" s="3"/>
      <c r="E926" s="3"/>
      <c r="F926" s="3"/>
      <c r="G926" s="3"/>
      <c r="H926" s="3"/>
      <c r="I926" s="5" t="s">
        <v>17</v>
      </c>
      <c r="J926" s="4"/>
      <c r="K926" s="4"/>
    </row>
    <row r="927" spans="1:11">
      <c r="A927" s="3"/>
      <c r="B927" s="5" t="s">
        <v>12</v>
      </c>
      <c r="C927" s="48">
        <f>J922</f>
        <v>300000</v>
      </c>
      <c r="D927" s="48"/>
      <c r="E927" s="23"/>
      <c r="F927" s="3"/>
      <c r="G927" s="3"/>
      <c r="H927" s="3"/>
      <c r="I927" s="5" t="s">
        <v>12</v>
      </c>
      <c r="J927" s="38">
        <f>C927</f>
        <v>300000</v>
      </c>
      <c r="K927" s="3"/>
    </row>
    <row r="928" spans="1:1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>
      <c r="A929" s="3"/>
      <c r="B929" s="3" t="s">
        <v>18</v>
      </c>
      <c r="C929" s="3"/>
      <c r="D929" s="3"/>
      <c r="E929" s="3"/>
      <c r="F929" s="3"/>
      <c r="G929" s="3"/>
      <c r="H929" s="3"/>
      <c r="I929" s="5" t="s">
        <v>19</v>
      </c>
      <c r="J929" s="3"/>
      <c r="K929" s="4"/>
    </row>
    <row r="930" spans="1:1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>
      <c r="A933" s="3"/>
      <c r="B933" s="24" t="s">
        <v>32</v>
      </c>
      <c r="C933" s="24"/>
      <c r="D933" s="25"/>
      <c r="E933" s="25"/>
      <c r="F933" s="26"/>
      <c r="G933" s="26"/>
      <c r="H933" s="3"/>
      <c r="I933" s="26" t="s">
        <v>84</v>
      </c>
      <c r="J933" s="25"/>
      <c r="K933" s="25"/>
    </row>
    <row r="934" spans="1:1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</row>
    <row r="936" spans="1:11">
      <c r="A936" s="49" t="s">
        <v>20</v>
      </c>
      <c r="B936" s="49"/>
      <c r="C936" s="49"/>
      <c r="D936" s="49"/>
      <c r="E936" s="49"/>
      <c r="F936" s="49"/>
      <c r="G936" s="49"/>
      <c r="H936" s="49"/>
      <c r="I936" s="49"/>
      <c r="J936" s="49"/>
      <c r="K936" s="49"/>
    </row>
    <row r="937" spans="1:1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>
      <c r="A938" s="3"/>
      <c r="B938" s="3" t="s">
        <v>21</v>
      </c>
      <c r="C938" s="3"/>
      <c r="D938" s="3"/>
      <c r="E938" s="3"/>
      <c r="F938" s="3"/>
      <c r="G938" s="3"/>
      <c r="H938" s="3"/>
      <c r="I938" s="3" t="s">
        <v>22</v>
      </c>
      <c r="J938" s="38">
        <f>(J922)</f>
        <v>300000</v>
      </c>
      <c r="K938" s="23"/>
    </row>
    <row r="939" spans="1:11">
      <c r="A939" s="3"/>
      <c r="B939" s="3" t="s">
        <v>23</v>
      </c>
      <c r="C939" s="3"/>
      <c r="D939" s="3"/>
      <c r="E939" s="3"/>
      <c r="F939" s="3"/>
      <c r="G939" s="3"/>
      <c r="H939" s="3"/>
      <c r="I939" s="3" t="s">
        <v>22</v>
      </c>
      <c r="J939" s="39">
        <f>(J927)</f>
        <v>300000</v>
      </c>
      <c r="K939" s="3"/>
    </row>
    <row r="940" spans="1:11">
      <c r="A940" s="3"/>
      <c r="B940" s="3" t="s">
        <v>24</v>
      </c>
      <c r="C940" s="3"/>
      <c r="D940" s="3"/>
      <c r="E940" s="3"/>
      <c r="F940" s="3"/>
      <c r="G940" s="3"/>
      <c r="H940" s="3"/>
      <c r="I940" s="3" t="s">
        <v>22</v>
      </c>
      <c r="J940" s="23">
        <f>J938-J939</f>
        <v>0</v>
      </c>
      <c r="K940" s="3"/>
    </row>
    <row r="941" spans="1:1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>
      <c r="A942" s="3"/>
      <c r="B942" s="3"/>
      <c r="C942" s="3"/>
      <c r="D942" s="3"/>
      <c r="E942" s="3"/>
      <c r="F942" s="3"/>
      <c r="G942" s="3"/>
      <c r="H942" s="3"/>
      <c r="I942" s="3"/>
      <c r="J942" s="15" t="s">
        <v>25</v>
      </c>
      <c r="K942" s="4"/>
    </row>
    <row r="943" spans="1:11">
      <c r="A943" s="3"/>
      <c r="B943" s="3"/>
      <c r="C943" s="3"/>
      <c r="D943" s="3"/>
      <c r="E943" s="3"/>
      <c r="F943" s="3"/>
      <c r="G943" s="3"/>
      <c r="H943" s="3"/>
      <c r="I943" s="3"/>
      <c r="J943" s="5"/>
      <c r="K943" s="3"/>
    </row>
    <row r="944" spans="1:11">
      <c r="A944" s="3"/>
      <c r="B944" s="3"/>
      <c r="C944" s="3"/>
      <c r="D944" s="3"/>
      <c r="E944" s="3"/>
      <c r="F944" s="3"/>
      <c r="G944" s="3"/>
      <c r="H944" s="3"/>
      <c r="I944" s="3"/>
      <c r="J944" s="5"/>
      <c r="K944" s="3"/>
    </row>
    <row r="945" spans="1:11">
      <c r="A945" s="3"/>
      <c r="B945" s="3"/>
      <c r="C945" s="3"/>
      <c r="D945" s="3"/>
      <c r="E945" s="3"/>
      <c r="F945" s="3"/>
      <c r="G945" s="3"/>
      <c r="H945" s="3"/>
      <c r="I945" s="3"/>
      <c r="J945" s="5"/>
      <c r="K945" s="3"/>
    </row>
    <row r="946" spans="1:11">
      <c r="A946" s="3"/>
      <c r="B946" s="3"/>
      <c r="C946" s="3"/>
      <c r="D946" s="3"/>
      <c r="E946" s="3"/>
      <c r="F946" s="3"/>
      <c r="G946" s="3"/>
      <c r="H946" s="3"/>
      <c r="I946" s="3"/>
      <c r="J946" s="24" t="s">
        <v>26</v>
      </c>
      <c r="K946" s="3"/>
    </row>
    <row r="947" spans="1:1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</row>
    <row r="949" spans="1:1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>
      <c r="A955" s="50" t="s">
        <v>0</v>
      </c>
      <c r="B955" s="50"/>
      <c r="C955" s="50"/>
      <c r="D955" s="50"/>
      <c r="E955" s="50"/>
      <c r="F955" s="50"/>
      <c r="G955" s="50"/>
      <c r="H955" s="50"/>
      <c r="I955" s="50"/>
      <c r="J955" s="50"/>
      <c r="K955" s="50"/>
    </row>
    <row r="956" spans="1:11">
      <c r="A956" s="52" t="s">
        <v>1</v>
      </c>
      <c r="B956" s="52"/>
      <c r="C956" s="52"/>
      <c r="D956" s="52"/>
      <c r="E956" s="52"/>
      <c r="F956" s="52"/>
      <c r="G956" s="52"/>
      <c r="H956" s="52"/>
      <c r="I956" s="52"/>
      <c r="J956" s="52"/>
      <c r="K956" s="52"/>
    </row>
    <row r="957" spans="1:1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>
      <c r="A958" s="51" t="s">
        <v>2</v>
      </c>
      <c r="B958" s="51"/>
      <c r="C958" s="51"/>
      <c r="D958" s="51"/>
      <c r="E958" s="51"/>
      <c r="F958" s="51"/>
      <c r="G958" s="51"/>
      <c r="H958" s="51"/>
      <c r="I958" s="51"/>
      <c r="J958" s="51"/>
      <c r="K958" s="51"/>
    </row>
    <row r="959" spans="1:1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>
      <c r="A960" s="3" t="s">
        <v>3</v>
      </c>
      <c r="B960" s="3"/>
      <c r="C960" s="3"/>
      <c r="D960" s="3"/>
      <c r="E960" s="4" t="s">
        <v>4</v>
      </c>
      <c r="F960" s="40" t="s">
        <v>85</v>
      </c>
      <c r="G960" s="3"/>
      <c r="H960" s="3"/>
      <c r="I960" s="3"/>
      <c r="J960" s="3"/>
      <c r="K960" s="3"/>
    </row>
    <row r="961" spans="1:11">
      <c r="A961" s="5" t="s">
        <v>5</v>
      </c>
      <c r="B961" s="5"/>
      <c r="C961" s="5"/>
      <c r="D961" s="5"/>
      <c r="E961" s="4" t="s">
        <v>4</v>
      </c>
      <c r="F961" s="45" t="s">
        <v>64</v>
      </c>
      <c r="G961" s="3"/>
      <c r="H961" s="3"/>
      <c r="I961" s="3"/>
      <c r="J961" s="3"/>
      <c r="K961" s="3"/>
    </row>
    <row r="962" spans="1:11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thickTop="1">
      <c r="A963" s="6" t="s">
        <v>6</v>
      </c>
      <c r="B963" s="53" t="s">
        <v>7</v>
      </c>
      <c r="C963" s="54"/>
      <c r="D963" s="54"/>
      <c r="E963" s="54"/>
      <c r="F963" s="54"/>
      <c r="G963" s="54"/>
      <c r="H963" s="55"/>
      <c r="I963" s="56" t="s">
        <v>8</v>
      </c>
      <c r="J963" s="57"/>
      <c r="K963" s="7" t="s">
        <v>9</v>
      </c>
    </row>
    <row r="964" spans="1:11">
      <c r="A964" s="8"/>
      <c r="B964" s="9"/>
      <c r="C964" s="10"/>
      <c r="D964" s="10"/>
      <c r="E964" s="10"/>
      <c r="F964" s="10"/>
      <c r="G964" s="10"/>
      <c r="H964" s="11"/>
      <c r="I964" s="29"/>
      <c r="J964" s="30"/>
      <c r="K964" s="58"/>
    </row>
    <row r="965" spans="1:11">
      <c r="A965" s="8" t="s">
        <v>10</v>
      </c>
      <c r="B965" s="61" t="s">
        <v>27</v>
      </c>
      <c r="C965" s="62"/>
      <c r="D965" s="62"/>
      <c r="E965" s="62"/>
      <c r="F965" s="62"/>
      <c r="G965" s="62"/>
      <c r="H965" s="63"/>
      <c r="I965" s="31"/>
      <c r="J965" s="32"/>
      <c r="K965" s="59"/>
    </row>
    <row r="966" spans="1:11">
      <c r="A966" s="8"/>
      <c r="B966" s="12" t="s">
        <v>11</v>
      </c>
      <c r="C966" s="3" t="s">
        <v>47</v>
      </c>
      <c r="D966" s="3"/>
      <c r="E966" s="3"/>
      <c r="F966" s="4"/>
      <c r="G966" s="4" t="s">
        <v>12</v>
      </c>
      <c r="H966" s="13">
        <v>250000</v>
      </c>
      <c r="I966" s="31" t="s">
        <v>12</v>
      </c>
      <c r="J966" s="32">
        <f>(H966)</f>
        <v>250000</v>
      </c>
      <c r="K966" s="59"/>
    </row>
    <row r="967" spans="1:11">
      <c r="A967" s="8"/>
      <c r="B967" s="12" t="s">
        <v>11</v>
      </c>
      <c r="C967" s="3" t="s">
        <v>48</v>
      </c>
      <c r="D967" s="3"/>
      <c r="E967" s="3"/>
      <c r="F967" s="4"/>
      <c r="G967" s="4" t="s">
        <v>12</v>
      </c>
      <c r="H967" s="13">
        <v>250000</v>
      </c>
      <c r="I967" s="31" t="s">
        <v>12</v>
      </c>
      <c r="J967" s="32">
        <f>(H967)</f>
        <v>250000</v>
      </c>
      <c r="K967" s="59"/>
    </row>
    <row r="968" spans="1:11">
      <c r="A968" s="8" t="s">
        <v>28</v>
      </c>
      <c r="B968" s="61" t="s">
        <v>86</v>
      </c>
      <c r="C968" s="62"/>
      <c r="D968" s="62"/>
      <c r="E968" s="62"/>
      <c r="F968" s="62"/>
      <c r="G968" s="62"/>
      <c r="H968" s="63"/>
      <c r="I968" s="33"/>
      <c r="J968" s="34"/>
      <c r="K968" s="59"/>
    </row>
    <row r="969" spans="1:11">
      <c r="A969" s="8"/>
      <c r="B969" s="12">
        <v>3</v>
      </c>
      <c r="C969" s="5" t="s">
        <v>29</v>
      </c>
      <c r="D969" s="5"/>
      <c r="E969" s="5"/>
      <c r="F969" s="4" t="s">
        <v>13</v>
      </c>
      <c r="G969" s="4" t="s">
        <v>12</v>
      </c>
      <c r="H969" s="13">
        <v>150000</v>
      </c>
      <c r="I969" s="12" t="s">
        <v>12</v>
      </c>
      <c r="J969" s="32">
        <f>B969*H969</f>
        <v>450000</v>
      </c>
      <c r="K969" s="59"/>
    </row>
    <row r="970" spans="1:11">
      <c r="A970" s="41" t="s">
        <v>30</v>
      </c>
      <c r="B970" s="61" t="s">
        <v>35</v>
      </c>
      <c r="C970" s="62"/>
      <c r="D970" s="62"/>
      <c r="E970" s="62"/>
      <c r="F970" s="62"/>
      <c r="G970" s="62"/>
      <c r="H970" s="63"/>
      <c r="I970" s="33"/>
      <c r="J970" s="32"/>
      <c r="K970" s="59"/>
    </row>
    <row r="971" spans="1:11">
      <c r="A971" s="8"/>
      <c r="B971" s="12">
        <v>2</v>
      </c>
      <c r="C971" s="3" t="s">
        <v>87</v>
      </c>
      <c r="D971" s="3"/>
      <c r="E971" s="3"/>
      <c r="F971" s="4" t="s">
        <v>13</v>
      </c>
      <c r="G971" s="4" t="s">
        <v>12</v>
      </c>
      <c r="H971" s="13">
        <v>200000</v>
      </c>
      <c r="I971" s="12" t="s">
        <v>12</v>
      </c>
      <c r="J971" s="32">
        <f>B971*H971</f>
        <v>400000</v>
      </c>
      <c r="K971" s="59"/>
    </row>
    <row r="972" spans="1:11">
      <c r="A972" s="8"/>
      <c r="B972" s="14" t="s">
        <v>14</v>
      </c>
      <c r="C972" s="15"/>
      <c r="D972" s="15"/>
      <c r="E972" s="15"/>
      <c r="F972" s="15"/>
      <c r="G972" s="15"/>
      <c r="H972" s="16"/>
      <c r="I972" s="35" t="s">
        <v>12</v>
      </c>
      <c r="J972" s="36">
        <f>SUM(J966:J971)</f>
        <v>1350000</v>
      </c>
      <c r="K972" s="60"/>
    </row>
    <row r="973" spans="1:11" ht="15.75" thickBot="1">
      <c r="A973" s="17"/>
      <c r="B973" s="18" t="s">
        <v>15</v>
      </c>
      <c r="C973" s="19"/>
      <c r="D973" s="18" t="s">
        <v>88</v>
      </c>
      <c r="E973" s="18"/>
      <c r="F973" s="19"/>
      <c r="G973" s="19"/>
      <c r="H973" s="19"/>
      <c r="I973" s="19"/>
      <c r="J973" s="19"/>
      <c r="K973" s="37"/>
    </row>
    <row r="974" spans="1:11" ht="15.75" thickTop="1">
      <c r="A974" s="20"/>
      <c r="B974" s="21"/>
      <c r="C974" s="22"/>
      <c r="D974" s="21"/>
      <c r="E974" s="21"/>
      <c r="F974" s="22"/>
      <c r="G974" s="22"/>
      <c r="H974" s="22"/>
      <c r="I974" s="22"/>
      <c r="J974" s="22"/>
      <c r="K974" s="22"/>
    </row>
    <row r="975" spans="1:11">
      <c r="A975" s="3"/>
      <c r="B975" s="3"/>
      <c r="C975" s="3"/>
      <c r="D975" s="3"/>
      <c r="E975" s="3"/>
      <c r="F975" s="3"/>
      <c r="G975" s="3"/>
      <c r="H975" s="3"/>
      <c r="I975" s="5" t="s">
        <v>65</v>
      </c>
      <c r="J975" s="3"/>
      <c r="K975" s="5"/>
    </row>
    <row r="976" spans="1:11">
      <c r="A976" s="3"/>
      <c r="B976" s="3" t="s">
        <v>16</v>
      </c>
      <c r="C976" s="3"/>
      <c r="D976" s="3"/>
      <c r="E976" s="3"/>
      <c r="F976" s="3"/>
      <c r="G976" s="3"/>
      <c r="H976" s="3"/>
      <c r="I976" s="5" t="s">
        <v>17</v>
      </c>
      <c r="J976" s="4"/>
      <c r="K976" s="4"/>
    </row>
    <row r="977" spans="1:11">
      <c r="A977" s="3"/>
      <c r="B977" s="5" t="s">
        <v>12</v>
      </c>
      <c r="C977" s="48">
        <f>J972</f>
        <v>1350000</v>
      </c>
      <c r="D977" s="48"/>
      <c r="E977" s="23"/>
      <c r="F977" s="3"/>
      <c r="G977" s="3"/>
      <c r="H977" s="3"/>
      <c r="I977" s="5" t="s">
        <v>12</v>
      </c>
      <c r="J977" s="38">
        <f>C977</f>
        <v>1350000</v>
      </c>
      <c r="K977" s="3"/>
    </row>
    <row r="978" spans="1:1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>
      <c r="A979" s="3"/>
      <c r="B979" s="3" t="s">
        <v>18</v>
      </c>
      <c r="C979" s="3"/>
      <c r="D979" s="3"/>
      <c r="E979" s="3"/>
      <c r="F979" s="3"/>
      <c r="G979" s="3"/>
      <c r="H979" s="3"/>
      <c r="I979" s="5" t="s">
        <v>19</v>
      </c>
      <c r="J979" s="3"/>
      <c r="K979" s="4"/>
    </row>
    <row r="980" spans="1:1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>
      <c r="A983" s="3"/>
      <c r="B983" s="24" t="s">
        <v>32</v>
      </c>
      <c r="C983" s="24"/>
      <c r="D983" s="25"/>
      <c r="E983" s="25"/>
      <c r="F983" s="26"/>
      <c r="G983" s="26"/>
      <c r="H983" s="3"/>
      <c r="I983" s="26" t="s">
        <v>89</v>
      </c>
      <c r="J983" s="25"/>
      <c r="K983" s="25"/>
    </row>
    <row r="984" spans="1:1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</row>
    <row r="986" spans="1:11">
      <c r="A986" s="49" t="s">
        <v>20</v>
      </c>
      <c r="B986" s="49"/>
      <c r="C986" s="49"/>
      <c r="D986" s="49"/>
      <c r="E986" s="49"/>
      <c r="F986" s="49"/>
      <c r="G986" s="49"/>
      <c r="H986" s="49"/>
      <c r="I986" s="49"/>
      <c r="J986" s="49"/>
      <c r="K986" s="49"/>
    </row>
    <row r="987" spans="1:1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>
      <c r="A988" s="3"/>
      <c r="B988" s="3" t="s">
        <v>21</v>
      </c>
      <c r="C988" s="3"/>
      <c r="D988" s="3"/>
      <c r="E988" s="3"/>
      <c r="F988" s="3"/>
      <c r="G988" s="3"/>
      <c r="H988" s="3"/>
      <c r="I988" s="3" t="s">
        <v>22</v>
      </c>
      <c r="J988" s="38">
        <f>(J972)</f>
        <v>1350000</v>
      </c>
      <c r="K988" s="23"/>
    </row>
    <row r="989" spans="1:11">
      <c r="A989" s="3"/>
      <c r="B989" s="3" t="s">
        <v>23</v>
      </c>
      <c r="C989" s="3"/>
      <c r="D989" s="3"/>
      <c r="E989" s="3"/>
      <c r="F989" s="3"/>
      <c r="G989" s="3"/>
      <c r="H989" s="3"/>
      <c r="I989" s="3" t="s">
        <v>22</v>
      </c>
      <c r="J989" s="39">
        <f>(J977)</f>
        <v>1350000</v>
      </c>
      <c r="K989" s="3"/>
    </row>
    <row r="990" spans="1:11">
      <c r="A990" s="3"/>
      <c r="B990" s="3" t="s">
        <v>24</v>
      </c>
      <c r="C990" s="3"/>
      <c r="D990" s="3"/>
      <c r="E990" s="3"/>
      <c r="F990" s="3"/>
      <c r="G990" s="3"/>
      <c r="H990" s="3"/>
      <c r="I990" s="3" t="s">
        <v>22</v>
      </c>
      <c r="J990" s="23">
        <f>J988-J989</f>
        <v>0</v>
      </c>
      <c r="K990" s="3"/>
    </row>
    <row r="991" spans="1:1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>
      <c r="A992" s="3"/>
      <c r="B992" s="3"/>
      <c r="C992" s="3"/>
      <c r="D992" s="3"/>
      <c r="E992" s="3"/>
      <c r="F992" s="3"/>
      <c r="G992" s="3"/>
      <c r="H992" s="3"/>
      <c r="I992" s="3"/>
      <c r="J992" s="15" t="s">
        <v>25</v>
      </c>
      <c r="K992" s="4"/>
    </row>
    <row r="993" spans="1:11">
      <c r="A993" s="3"/>
      <c r="B993" s="3"/>
      <c r="C993" s="3"/>
      <c r="D993" s="3"/>
      <c r="E993" s="3"/>
      <c r="F993" s="3"/>
      <c r="G993" s="3"/>
      <c r="H993" s="3"/>
      <c r="I993" s="3"/>
      <c r="J993" s="5"/>
      <c r="K993" s="3"/>
    </row>
    <row r="994" spans="1:11">
      <c r="A994" s="3"/>
      <c r="B994" s="3"/>
      <c r="C994" s="3"/>
      <c r="D994" s="3"/>
      <c r="E994" s="3"/>
      <c r="F994" s="3"/>
      <c r="G994" s="3"/>
      <c r="H994" s="3"/>
      <c r="I994" s="3"/>
      <c r="J994" s="5"/>
      <c r="K994" s="3"/>
    </row>
    <row r="995" spans="1:11">
      <c r="A995" s="3"/>
      <c r="B995" s="3"/>
      <c r="C995" s="3"/>
      <c r="D995" s="3"/>
      <c r="E995" s="3"/>
      <c r="F995" s="3"/>
      <c r="G995" s="3"/>
      <c r="H995" s="3"/>
      <c r="I995" s="3"/>
      <c r="J995" s="5"/>
      <c r="K995" s="3"/>
    </row>
    <row r="996" spans="1:11">
      <c r="A996" s="3"/>
      <c r="B996" s="3"/>
      <c r="C996" s="3"/>
      <c r="D996" s="3"/>
      <c r="E996" s="3"/>
      <c r="F996" s="3"/>
      <c r="G996" s="3"/>
      <c r="H996" s="3"/>
      <c r="I996" s="3"/>
      <c r="J996" s="24" t="s">
        <v>26</v>
      </c>
      <c r="K996" s="3"/>
    </row>
    <row r="997" spans="1:1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</row>
    <row r="999" spans="1:1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1:1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1:1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 spans="1:1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  <row r="1004" spans="1:1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</row>
    <row r="1005" spans="1:11" ht="15.75">
      <c r="A1005" s="50" t="s">
        <v>0</v>
      </c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</row>
    <row r="1006" spans="1:11">
      <c r="A1006" s="52" t="s">
        <v>1</v>
      </c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</row>
    <row r="1007" spans="1:1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>
      <c r="A1008" s="51" t="s">
        <v>2</v>
      </c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</row>
    <row r="1009" spans="1:1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</row>
    <row r="1010" spans="1:11" ht="15.75">
      <c r="A1010" s="3" t="s">
        <v>3</v>
      </c>
      <c r="B1010" s="3"/>
      <c r="C1010" s="3"/>
      <c r="D1010" s="3"/>
      <c r="E1010" s="4" t="s">
        <v>4</v>
      </c>
      <c r="F1010" s="40" t="s">
        <v>90</v>
      </c>
      <c r="G1010" s="3"/>
      <c r="H1010" s="3"/>
      <c r="I1010" s="3"/>
      <c r="J1010" s="3"/>
      <c r="K1010" s="3"/>
    </row>
    <row r="1011" spans="1:11">
      <c r="A1011" s="5" t="s">
        <v>5</v>
      </c>
      <c r="B1011" s="5"/>
      <c r="C1011" s="5"/>
      <c r="D1011" s="5"/>
      <c r="E1011" s="4" t="s">
        <v>4</v>
      </c>
      <c r="F1011" s="45" t="s">
        <v>64</v>
      </c>
      <c r="G1011" s="3"/>
      <c r="H1011" s="3"/>
      <c r="I1011" s="3"/>
      <c r="J1011" s="3"/>
      <c r="K1011" s="3"/>
    </row>
    <row r="1012" spans="1:11" ht="15.75" thickBo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</row>
    <row r="1013" spans="1:11" ht="15.75" thickTop="1">
      <c r="A1013" s="6" t="s">
        <v>6</v>
      </c>
      <c r="B1013" s="53" t="s">
        <v>7</v>
      </c>
      <c r="C1013" s="54"/>
      <c r="D1013" s="54"/>
      <c r="E1013" s="54"/>
      <c r="F1013" s="54"/>
      <c r="G1013" s="54"/>
      <c r="H1013" s="55"/>
      <c r="I1013" s="56" t="s">
        <v>8</v>
      </c>
      <c r="J1013" s="57"/>
      <c r="K1013" s="7" t="s">
        <v>9</v>
      </c>
    </row>
    <row r="1014" spans="1:11">
      <c r="A1014" s="8"/>
      <c r="B1014" s="9"/>
      <c r="C1014" s="10"/>
      <c r="D1014" s="10"/>
      <c r="E1014" s="10"/>
      <c r="F1014" s="10"/>
      <c r="G1014" s="10"/>
      <c r="H1014" s="11"/>
      <c r="I1014" s="29"/>
      <c r="J1014" s="30"/>
      <c r="K1014" s="58"/>
    </row>
    <row r="1015" spans="1:11">
      <c r="A1015" s="8" t="s">
        <v>10</v>
      </c>
      <c r="B1015" s="61" t="s">
        <v>27</v>
      </c>
      <c r="C1015" s="62"/>
      <c r="D1015" s="62"/>
      <c r="E1015" s="62"/>
      <c r="F1015" s="62"/>
      <c r="G1015" s="62"/>
      <c r="H1015" s="63"/>
      <c r="I1015" s="31"/>
      <c r="J1015" s="32"/>
      <c r="K1015" s="59"/>
    </row>
    <row r="1016" spans="1:11">
      <c r="A1016" s="8"/>
      <c r="B1016" s="12" t="s">
        <v>11</v>
      </c>
      <c r="C1016" s="3" t="s">
        <v>47</v>
      </c>
      <c r="D1016" s="3"/>
      <c r="E1016" s="3"/>
      <c r="F1016" s="4"/>
      <c r="G1016" s="4" t="s">
        <v>12</v>
      </c>
      <c r="H1016" s="13">
        <v>0</v>
      </c>
      <c r="I1016" s="31" t="s">
        <v>12</v>
      </c>
      <c r="J1016" s="32">
        <f>(H1016)</f>
        <v>0</v>
      </c>
      <c r="K1016" s="59"/>
    </row>
    <row r="1017" spans="1:11">
      <c r="A1017" s="8"/>
      <c r="B1017" s="12" t="s">
        <v>11</v>
      </c>
      <c r="C1017" s="3" t="s">
        <v>48</v>
      </c>
      <c r="D1017" s="3"/>
      <c r="E1017" s="3"/>
      <c r="F1017" s="4"/>
      <c r="G1017" s="4" t="s">
        <v>12</v>
      </c>
      <c r="H1017" s="13">
        <v>0</v>
      </c>
      <c r="I1017" s="31" t="s">
        <v>12</v>
      </c>
      <c r="J1017" s="32">
        <f>(H1017)</f>
        <v>0</v>
      </c>
      <c r="K1017" s="59"/>
    </row>
    <row r="1018" spans="1:11">
      <c r="A1018" s="8" t="s">
        <v>28</v>
      </c>
      <c r="B1018" s="61" t="s">
        <v>86</v>
      </c>
      <c r="C1018" s="62"/>
      <c r="D1018" s="62"/>
      <c r="E1018" s="62"/>
      <c r="F1018" s="62"/>
      <c r="G1018" s="62"/>
      <c r="H1018" s="63"/>
      <c r="I1018" s="33"/>
      <c r="J1018" s="34"/>
      <c r="K1018" s="59"/>
    </row>
    <row r="1019" spans="1:11">
      <c r="A1019" s="8"/>
      <c r="B1019" s="12">
        <v>3</v>
      </c>
      <c r="C1019" s="5" t="s">
        <v>29</v>
      </c>
      <c r="D1019" s="5"/>
      <c r="E1019" s="5"/>
      <c r="F1019" s="4" t="s">
        <v>13</v>
      </c>
      <c r="G1019" s="4" t="s">
        <v>12</v>
      </c>
      <c r="H1019" s="13">
        <v>150000</v>
      </c>
      <c r="I1019" s="12" t="s">
        <v>12</v>
      </c>
      <c r="J1019" s="32">
        <f>B1019*H1019</f>
        <v>450000</v>
      </c>
      <c r="K1019" s="59"/>
    </row>
    <row r="1020" spans="1:11">
      <c r="A1020" s="41" t="s">
        <v>30</v>
      </c>
      <c r="B1020" s="61" t="s">
        <v>35</v>
      </c>
      <c r="C1020" s="62"/>
      <c r="D1020" s="62"/>
      <c r="E1020" s="62"/>
      <c r="F1020" s="62"/>
      <c r="G1020" s="62"/>
      <c r="H1020" s="63"/>
      <c r="I1020" s="33"/>
      <c r="J1020" s="32"/>
      <c r="K1020" s="59"/>
    </row>
    <row r="1021" spans="1:11">
      <c r="A1021" s="8"/>
      <c r="B1021" s="12">
        <v>2</v>
      </c>
      <c r="C1021" s="3" t="s">
        <v>87</v>
      </c>
      <c r="D1021" s="3"/>
      <c r="E1021" s="3"/>
      <c r="F1021" s="4" t="s">
        <v>13</v>
      </c>
      <c r="G1021" s="4" t="s">
        <v>12</v>
      </c>
      <c r="H1021" s="13">
        <v>200000</v>
      </c>
      <c r="I1021" s="12" t="s">
        <v>12</v>
      </c>
      <c r="J1021" s="32">
        <f>B1021*H1021</f>
        <v>400000</v>
      </c>
      <c r="K1021" s="59"/>
    </row>
    <row r="1022" spans="1:11">
      <c r="A1022" s="8"/>
      <c r="B1022" s="14" t="s">
        <v>14</v>
      </c>
      <c r="C1022" s="15"/>
      <c r="D1022" s="15"/>
      <c r="E1022" s="15"/>
      <c r="F1022" s="15"/>
      <c r="G1022" s="15"/>
      <c r="H1022" s="16"/>
      <c r="I1022" s="35" t="s">
        <v>12</v>
      </c>
      <c r="J1022" s="36">
        <f>SUM(J1016:J1021)</f>
        <v>850000</v>
      </c>
      <c r="K1022" s="60"/>
    </row>
    <row r="1023" spans="1:11" ht="15.75" thickBot="1">
      <c r="A1023" s="17"/>
      <c r="B1023" s="18" t="s">
        <v>15</v>
      </c>
      <c r="C1023" s="19"/>
      <c r="D1023" s="18" t="s">
        <v>91</v>
      </c>
      <c r="E1023" s="18"/>
      <c r="F1023" s="19"/>
      <c r="G1023" s="19"/>
      <c r="H1023" s="19"/>
      <c r="I1023" s="19"/>
      <c r="J1023" s="19"/>
      <c r="K1023" s="37"/>
    </row>
    <row r="1024" spans="1:11" ht="15.75" thickTop="1">
      <c r="A1024" s="20"/>
      <c r="B1024" s="21"/>
      <c r="C1024" s="22"/>
      <c r="D1024" s="21"/>
      <c r="E1024" s="21"/>
      <c r="F1024" s="22"/>
      <c r="G1024" s="22"/>
      <c r="H1024" s="22"/>
      <c r="I1024" s="22"/>
      <c r="J1024" s="22"/>
      <c r="K1024" s="22"/>
    </row>
    <row r="1025" spans="1:11">
      <c r="A1025" s="3"/>
      <c r="B1025" s="3"/>
      <c r="C1025" s="3"/>
      <c r="D1025" s="3"/>
      <c r="E1025" s="3"/>
      <c r="F1025" s="3"/>
      <c r="G1025" s="3"/>
      <c r="H1025" s="3"/>
      <c r="I1025" s="5" t="s">
        <v>65</v>
      </c>
      <c r="J1025" s="3"/>
      <c r="K1025" s="5"/>
    </row>
    <row r="1026" spans="1:11">
      <c r="A1026" s="3"/>
      <c r="B1026" s="3" t="s">
        <v>16</v>
      </c>
      <c r="C1026" s="3"/>
      <c r="D1026" s="3"/>
      <c r="E1026" s="3"/>
      <c r="F1026" s="3"/>
      <c r="G1026" s="3"/>
      <c r="H1026" s="3"/>
      <c r="I1026" s="5" t="s">
        <v>17</v>
      </c>
      <c r="J1026" s="4"/>
      <c r="K1026" s="4"/>
    </row>
    <row r="1027" spans="1:11">
      <c r="A1027" s="3"/>
      <c r="B1027" s="5" t="s">
        <v>12</v>
      </c>
      <c r="C1027" s="48">
        <f>J1022</f>
        <v>850000</v>
      </c>
      <c r="D1027" s="48"/>
      <c r="E1027" s="23"/>
      <c r="F1027" s="3"/>
      <c r="G1027" s="3"/>
      <c r="H1027" s="3"/>
      <c r="I1027" s="5" t="s">
        <v>12</v>
      </c>
      <c r="J1027" s="38">
        <f>C1027</f>
        <v>850000</v>
      </c>
      <c r="K1027" s="3"/>
    </row>
    <row r="1028" spans="1:1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 spans="1:11">
      <c r="A1029" s="3"/>
      <c r="B1029" s="3" t="s">
        <v>18</v>
      </c>
      <c r="C1029" s="3"/>
      <c r="D1029" s="3"/>
      <c r="E1029" s="3"/>
      <c r="F1029" s="3"/>
      <c r="G1029" s="3"/>
      <c r="H1029" s="3"/>
      <c r="I1029" s="5" t="s">
        <v>19</v>
      </c>
      <c r="J1029" s="3"/>
      <c r="K1029" s="4"/>
    </row>
    <row r="1030" spans="1:1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</row>
    <row r="1031" spans="1:1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</row>
    <row r="1032" spans="1:1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</row>
    <row r="1033" spans="1:11">
      <c r="A1033" s="3"/>
      <c r="B1033" s="24" t="s">
        <v>32</v>
      </c>
      <c r="C1033" s="24"/>
      <c r="D1033" s="25"/>
      <c r="E1033" s="25"/>
      <c r="F1033" s="26"/>
      <c r="G1033" s="26"/>
      <c r="H1033" s="3"/>
      <c r="I1033" s="26" t="s">
        <v>92</v>
      </c>
      <c r="J1033" s="25"/>
      <c r="K1033" s="25"/>
    </row>
    <row r="1034" spans="1:1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</row>
    <row r="1035" spans="1:11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</row>
    <row r="1036" spans="1:11">
      <c r="A1036" s="49" t="s">
        <v>20</v>
      </c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</row>
    <row r="1037" spans="1:1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</row>
    <row r="1038" spans="1:11">
      <c r="A1038" s="3"/>
      <c r="B1038" s="3" t="s">
        <v>21</v>
      </c>
      <c r="C1038" s="3"/>
      <c r="D1038" s="3"/>
      <c r="E1038" s="3"/>
      <c r="F1038" s="3"/>
      <c r="G1038" s="3"/>
      <c r="H1038" s="3"/>
      <c r="I1038" s="3" t="s">
        <v>22</v>
      </c>
      <c r="J1038" s="38">
        <f>(J1022)</f>
        <v>850000</v>
      </c>
      <c r="K1038" s="23"/>
    </row>
    <row r="1039" spans="1:11">
      <c r="A1039" s="3"/>
      <c r="B1039" s="3" t="s">
        <v>23</v>
      </c>
      <c r="C1039" s="3"/>
      <c r="D1039" s="3"/>
      <c r="E1039" s="3"/>
      <c r="F1039" s="3"/>
      <c r="G1039" s="3"/>
      <c r="H1039" s="3"/>
      <c r="I1039" s="3" t="s">
        <v>22</v>
      </c>
      <c r="J1039" s="39">
        <f>(J1027)</f>
        <v>850000</v>
      </c>
      <c r="K1039" s="3"/>
    </row>
    <row r="1040" spans="1:11">
      <c r="A1040" s="3"/>
      <c r="B1040" s="3" t="s">
        <v>24</v>
      </c>
      <c r="C1040" s="3"/>
      <c r="D1040" s="3"/>
      <c r="E1040" s="3"/>
      <c r="F1040" s="3"/>
      <c r="G1040" s="3"/>
      <c r="H1040" s="3"/>
      <c r="I1040" s="3" t="s">
        <v>22</v>
      </c>
      <c r="J1040" s="23">
        <f>J1038-J1039</f>
        <v>0</v>
      </c>
      <c r="K1040" s="3"/>
    </row>
    <row r="1041" spans="1:1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</row>
    <row r="1042" spans="1:11">
      <c r="A1042" s="3"/>
      <c r="B1042" s="3"/>
      <c r="C1042" s="3"/>
      <c r="D1042" s="3"/>
      <c r="E1042" s="3"/>
      <c r="F1042" s="3"/>
      <c r="G1042" s="3"/>
      <c r="H1042" s="3"/>
      <c r="I1042" s="3"/>
      <c r="J1042" s="15" t="s">
        <v>25</v>
      </c>
      <c r="K1042" s="4"/>
    </row>
    <row r="1043" spans="1:11">
      <c r="A1043" s="3"/>
      <c r="B1043" s="3"/>
      <c r="C1043" s="3"/>
      <c r="D1043" s="3"/>
      <c r="E1043" s="3"/>
      <c r="F1043" s="3"/>
      <c r="G1043" s="3"/>
      <c r="H1043" s="3"/>
      <c r="I1043" s="3"/>
      <c r="J1043" s="5"/>
      <c r="K1043" s="3"/>
    </row>
    <row r="1044" spans="1:11">
      <c r="A1044" s="3"/>
      <c r="B1044" s="3"/>
      <c r="C1044" s="3"/>
      <c r="D1044" s="3"/>
      <c r="E1044" s="3"/>
      <c r="F1044" s="3"/>
      <c r="G1044" s="3"/>
      <c r="H1044" s="3"/>
      <c r="I1044" s="3"/>
      <c r="J1044" s="5"/>
      <c r="K1044" s="3"/>
    </row>
    <row r="1045" spans="1:11">
      <c r="A1045" s="3"/>
      <c r="B1045" s="3"/>
      <c r="C1045" s="3"/>
      <c r="D1045" s="3"/>
      <c r="E1045" s="3"/>
      <c r="F1045" s="3"/>
      <c r="G1045" s="3"/>
      <c r="H1045" s="3"/>
      <c r="I1045" s="3"/>
      <c r="J1045" s="5"/>
      <c r="K1045" s="3"/>
    </row>
    <row r="1046" spans="1:11">
      <c r="A1046" s="3"/>
      <c r="B1046" s="3"/>
      <c r="C1046" s="3"/>
      <c r="D1046" s="3"/>
      <c r="E1046" s="3"/>
      <c r="F1046" s="3"/>
      <c r="G1046" s="3"/>
      <c r="H1046" s="3"/>
      <c r="I1046" s="3"/>
      <c r="J1046" s="24" t="s">
        <v>26</v>
      </c>
      <c r="K1046" s="3"/>
    </row>
    <row r="1047" spans="1:11">
      <c r="A1047" s="28"/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</row>
    <row r="1049" spans="1:1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1:1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</row>
    <row r="1051" spans="1:1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</row>
    <row r="1052" spans="1:1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</row>
    <row r="1053" spans="1:1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</row>
    <row r="1054" spans="1:1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</row>
    <row r="1055" spans="1:11" ht="15.75">
      <c r="A1055" s="50" t="s">
        <v>0</v>
      </c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</row>
    <row r="1056" spans="1:11">
      <c r="A1056" s="52" t="s">
        <v>1</v>
      </c>
      <c r="B1056" s="52"/>
      <c r="C1056" s="52"/>
      <c r="D1056" s="52"/>
      <c r="E1056" s="52"/>
      <c r="F1056" s="52"/>
      <c r="G1056" s="52"/>
      <c r="H1056" s="52"/>
      <c r="I1056" s="52"/>
      <c r="J1056" s="52"/>
      <c r="K1056" s="52"/>
    </row>
    <row r="1057" spans="1:1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>
      <c r="A1058" s="51" t="s">
        <v>2</v>
      </c>
      <c r="B1058" s="51"/>
      <c r="C1058" s="51"/>
      <c r="D1058" s="51"/>
      <c r="E1058" s="51"/>
      <c r="F1058" s="51"/>
      <c r="G1058" s="51"/>
      <c r="H1058" s="51"/>
      <c r="I1058" s="51"/>
      <c r="J1058" s="51"/>
      <c r="K1058" s="51"/>
    </row>
    <row r="1059" spans="1:1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</row>
    <row r="1060" spans="1:11" ht="15.75">
      <c r="A1060" s="3" t="s">
        <v>3</v>
      </c>
      <c r="B1060" s="3"/>
      <c r="C1060" s="3"/>
      <c r="D1060" s="3"/>
      <c r="E1060" s="4" t="s">
        <v>4</v>
      </c>
      <c r="F1060" s="40" t="s">
        <v>93</v>
      </c>
      <c r="G1060" s="3"/>
      <c r="H1060" s="3"/>
      <c r="I1060" s="3"/>
      <c r="J1060" s="3"/>
      <c r="K1060" s="3"/>
    </row>
    <row r="1061" spans="1:11">
      <c r="A1061" s="5" t="s">
        <v>5</v>
      </c>
      <c r="B1061" s="5"/>
      <c r="C1061" s="5"/>
      <c r="D1061" s="5"/>
      <c r="E1061" s="4" t="s">
        <v>4</v>
      </c>
      <c r="F1061" s="45" t="s">
        <v>64</v>
      </c>
      <c r="G1061" s="3"/>
      <c r="H1061" s="3"/>
      <c r="I1061" s="3"/>
      <c r="J1061" s="3"/>
      <c r="K1061" s="3"/>
    </row>
    <row r="1062" spans="1:11" ht="15.75" thickBo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</row>
    <row r="1063" spans="1:11" ht="15.75" thickTop="1">
      <c r="A1063" s="6" t="s">
        <v>6</v>
      </c>
      <c r="B1063" s="53" t="s">
        <v>7</v>
      </c>
      <c r="C1063" s="54"/>
      <c r="D1063" s="54"/>
      <c r="E1063" s="54"/>
      <c r="F1063" s="54"/>
      <c r="G1063" s="54"/>
      <c r="H1063" s="55"/>
      <c r="I1063" s="56" t="s">
        <v>8</v>
      </c>
      <c r="J1063" s="57"/>
      <c r="K1063" s="7" t="s">
        <v>9</v>
      </c>
    </row>
    <row r="1064" spans="1:11">
      <c r="A1064" s="8"/>
      <c r="B1064" s="9"/>
      <c r="C1064" s="10"/>
      <c r="D1064" s="10"/>
      <c r="E1064" s="10"/>
      <c r="F1064" s="10"/>
      <c r="G1064" s="10"/>
      <c r="H1064" s="11"/>
      <c r="I1064" s="29"/>
      <c r="J1064" s="30"/>
      <c r="K1064" s="58"/>
    </row>
    <row r="1065" spans="1:11">
      <c r="A1065" s="8" t="s">
        <v>10</v>
      </c>
      <c r="B1065" s="61" t="s">
        <v>27</v>
      </c>
      <c r="C1065" s="62"/>
      <c r="D1065" s="62"/>
      <c r="E1065" s="62"/>
      <c r="F1065" s="62"/>
      <c r="G1065" s="62"/>
      <c r="H1065" s="63"/>
      <c r="I1065" s="31"/>
      <c r="J1065" s="32"/>
      <c r="K1065" s="59"/>
    </row>
    <row r="1066" spans="1:11">
      <c r="A1066" s="8"/>
      <c r="B1066" s="12" t="s">
        <v>11</v>
      </c>
      <c r="C1066" s="3" t="s">
        <v>47</v>
      </c>
      <c r="D1066" s="3"/>
      <c r="E1066" s="3"/>
      <c r="F1066" s="4"/>
      <c r="G1066" s="4" t="s">
        <v>12</v>
      </c>
      <c r="H1066" s="13">
        <v>0</v>
      </c>
      <c r="I1066" s="31" t="s">
        <v>12</v>
      </c>
      <c r="J1066" s="32">
        <f>(H1066)</f>
        <v>0</v>
      </c>
      <c r="K1066" s="59"/>
    </row>
    <row r="1067" spans="1:11">
      <c r="A1067" s="8"/>
      <c r="B1067" s="12" t="s">
        <v>11</v>
      </c>
      <c r="C1067" s="3" t="s">
        <v>48</v>
      </c>
      <c r="D1067" s="3"/>
      <c r="E1067" s="3"/>
      <c r="F1067" s="4"/>
      <c r="G1067" s="4" t="s">
        <v>12</v>
      </c>
      <c r="H1067" s="13">
        <v>0</v>
      </c>
      <c r="I1067" s="31" t="s">
        <v>12</v>
      </c>
      <c r="J1067" s="32">
        <f>(H1067)</f>
        <v>0</v>
      </c>
      <c r="K1067" s="59"/>
    </row>
    <row r="1068" spans="1:11">
      <c r="A1068" s="8" t="s">
        <v>28</v>
      </c>
      <c r="B1068" s="61" t="s">
        <v>86</v>
      </c>
      <c r="C1068" s="62"/>
      <c r="D1068" s="62"/>
      <c r="E1068" s="62"/>
      <c r="F1068" s="62"/>
      <c r="G1068" s="62"/>
      <c r="H1068" s="63"/>
      <c r="I1068" s="33"/>
      <c r="J1068" s="34"/>
      <c r="K1068" s="59"/>
    </row>
    <row r="1069" spans="1:11">
      <c r="A1069" s="8"/>
      <c r="B1069" s="12">
        <v>3</v>
      </c>
      <c r="C1069" s="5" t="s">
        <v>29</v>
      </c>
      <c r="D1069" s="5"/>
      <c r="E1069" s="5"/>
      <c r="F1069" s="4" t="s">
        <v>13</v>
      </c>
      <c r="G1069" s="4" t="s">
        <v>12</v>
      </c>
      <c r="H1069" s="13">
        <v>150000</v>
      </c>
      <c r="I1069" s="12" t="s">
        <v>12</v>
      </c>
      <c r="J1069" s="32">
        <f>B1069*H1069</f>
        <v>450000</v>
      </c>
      <c r="K1069" s="59"/>
    </row>
    <row r="1070" spans="1:11">
      <c r="A1070" s="41" t="s">
        <v>30</v>
      </c>
      <c r="B1070" s="61" t="s">
        <v>35</v>
      </c>
      <c r="C1070" s="62"/>
      <c r="D1070" s="62"/>
      <c r="E1070" s="62"/>
      <c r="F1070" s="62"/>
      <c r="G1070" s="62"/>
      <c r="H1070" s="63"/>
      <c r="I1070" s="33"/>
      <c r="J1070" s="32"/>
      <c r="K1070" s="59"/>
    </row>
    <row r="1071" spans="1:11">
      <c r="A1071" s="8"/>
      <c r="B1071" s="12">
        <v>2</v>
      </c>
      <c r="C1071" s="3" t="s">
        <v>87</v>
      </c>
      <c r="D1071" s="3"/>
      <c r="E1071" s="3"/>
      <c r="F1071" s="4" t="s">
        <v>13</v>
      </c>
      <c r="G1071" s="4" t="s">
        <v>12</v>
      </c>
      <c r="H1071" s="13">
        <v>200000</v>
      </c>
      <c r="I1071" s="12" t="s">
        <v>12</v>
      </c>
      <c r="J1071" s="32">
        <f>B1071*H1071</f>
        <v>400000</v>
      </c>
      <c r="K1071" s="59"/>
    </row>
    <row r="1072" spans="1:11">
      <c r="A1072" s="8"/>
      <c r="B1072" s="14" t="s">
        <v>14</v>
      </c>
      <c r="C1072" s="15"/>
      <c r="D1072" s="15"/>
      <c r="E1072" s="15"/>
      <c r="F1072" s="15"/>
      <c r="G1072" s="15"/>
      <c r="H1072" s="16"/>
      <c r="I1072" s="35" t="s">
        <v>12</v>
      </c>
      <c r="J1072" s="36">
        <f>SUM(J1066:J1071)</f>
        <v>850000</v>
      </c>
      <c r="K1072" s="60"/>
    </row>
    <row r="1073" spans="1:11" ht="15.75" thickBot="1">
      <c r="A1073" s="17"/>
      <c r="B1073" s="18" t="s">
        <v>15</v>
      </c>
      <c r="C1073" s="19"/>
      <c r="D1073" s="18" t="s">
        <v>91</v>
      </c>
      <c r="E1073" s="18"/>
      <c r="F1073" s="19"/>
      <c r="G1073" s="19"/>
      <c r="H1073" s="19"/>
      <c r="I1073" s="19"/>
      <c r="J1073" s="19"/>
      <c r="K1073" s="37"/>
    </row>
    <row r="1074" spans="1:11" ht="15.75" thickTop="1">
      <c r="A1074" s="20"/>
      <c r="B1074" s="21"/>
      <c r="C1074" s="22"/>
      <c r="D1074" s="21"/>
      <c r="E1074" s="21"/>
      <c r="F1074" s="22"/>
      <c r="G1074" s="22"/>
      <c r="H1074" s="22"/>
      <c r="I1074" s="22"/>
      <c r="J1074" s="22"/>
      <c r="K1074" s="22"/>
    </row>
    <row r="1075" spans="1:11">
      <c r="A1075" s="3"/>
      <c r="B1075" s="3"/>
      <c r="C1075" s="3"/>
      <c r="D1075" s="3"/>
      <c r="E1075" s="3"/>
      <c r="F1075" s="3"/>
      <c r="G1075" s="3"/>
      <c r="H1075" s="3"/>
      <c r="I1075" s="5" t="s">
        <v>65</v>
      </c>
      <c r="J1075" s="3"/>
      <c r="K1075" s="5"/>
    </row>
    <row r="1076" spans="1:11">
      <c r="A1076" s="3"/>
      <c r="B1076" s="3" t="s">
        <v>16</v>
      </c>
      <c r="C1076" s="3"/>
      <c r="D1076" s="3"/>
      <c r="E1076" s="3"/>
      <c r="F1076" s="3"/>
      <c r="G1076" s="3"/>
      <c r="H1076" s="3"/>
      <c r="I1076" s="5" t="s">
        <v>17</v>
      </c>
      <c r="J1076" s="4"/>
      <c r="K1076" s="4"/>
    </row>
    <row r="1077" spans="1:11">
      <c r="A1077" s="3"/>
      <c r="B1077" s="5" t="s">
        <v>12</v>
      </c>
      <c r="C1077" s="48">
        <f>J1072</f>
        <v>850000</v>
      </c>
      <c r="D1077" s="48"/>
      <c r="E1077" s="23"/>
      <c r="F1077" s="3"/>
      <c r="G1077" s="3"/>
      <c r="H1077" s="3"/>
      <c r="I1077" s="5" t="s">
        <v>12</v>
      </c>
      <c r="J1077" s="38">
        <f>C1077</f>
        <v>850000</v>
      </c>
      <c r="K1077" s="3"/>
    </row>
    <row r="1078" spans="1:1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</row>
    <row r="1079" spans="1:11">
      <c r="A1079" s="3"/>
      <c r="B1079" s="3" t="s">
        <v>18</v>
      </c>
      <c r="C1079" s="3"/>
      <c r="D1079" s="3"/>
      <c r="E1079" s="3"/>
      <c r="F1079" s="3"/>
      <c r="G1079" s="3"/>
      <c r="H1079" s="3"/>
      <c r="I1079" s="5" t="s">
        <v>19</v>
      </c>
      <c r="J1079" s="3"/>
      <c r="K1079" s="4"/>
    </row>
    <row r="1080" spans="1:1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</row>
    <row r="1081" spans="1:1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</row>
    <row r="1082" spans="1:1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</row>
    <row r="1083" spans="1:11">
      <c r="A1083" s="3"/>
      <c r="B1083" s="24" t="s">
        <v>32</v>
      </c>
      <c r="C1083" s="24"/>
      <c r="D1083" s="25"/>
      <c r="E1083" s="25"/>
      <c r="F1083" s="26"/>
      <c r="G1083" s="26"/>
      <c r="H1083" s="3"/>
      <c r="I1083" s="26" t="s">
        <v>94</v>
      </c>
      <c r="J1083" s="25"/>
      <c r="K1083" s="25"/>
    </row>
    <row r="1084" spans="1:1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</row>
    <row r="1085" spans="1:11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</row>
    <row r="1086" spans="1:11">
      <c r="A1086" s="49" t="s">
        <v>20</v>
      </c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</row>
    <row r="1087" spans="1:1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</row>
    <row r="1088" spans="1:11">
      <c r="A1088" s="3"/>
      <c r="B1088" s="3" t="s">
        <v>21</v>
      </c>
      <c r="C1088" s="3"/>
      <c r="D1088" s="3"/>
      <c r="E1088" s="3"/>
      <c r="F1088" s="3"/>
      <c r="G1088" s="3"/>
      <c r="H1088" s="3"/>
      <c r="I1088" s="3" t="s">
        <v>22</v>
      </c>
      <c r="J1088" s="38">
        <f>(J1072)</f>
        <v>850000</v>
      </c>
      <c r="K1088" s="23"/>
    </row>
    <row r="1089" spans="1:11">
      <c r="A1089" s="3"/>
      <c r="B1089" s="3" t="s">
        <v>23</v>
      </c>
      <c r="C1089" s="3"/>
      <c r="D1089" s="3"/>
      <c r="E1089" s="3"/>
      <c r="F1089" s="3"/>
      <c r="G1089" s="3"/>
      <c r="H1089" s="3"/>
      <c r="I1089" s="3" t="s">
        <v>22</v>
      </c>
      <c r="J1089" s="39">
        <f>(J1077)</f>
        <v>850000</v>
      </c>
      <c r="K1089" s="3"/>
    </row>
    <row r="1090" spans="1:11">
      <c r="A1090" s="3"/>
      <c r="B1090" s="3" t="s">
        <v>24</v>
      </c>
      <c r="C1090" s="3"/>
      <c r="D1090" s="3"/>
      <c r="E1090" s="3"/>
      <c r="F1090" s="3"/>
      <c r="G1090" s="3"/>
      <c r="H1090" s="3"/>
      <c r="I1090" s="3" t="s">
        <v>22</v>
      </c>
      <c r="J1090" s="23">
        <f>J1088-J1089</f>
        <v>0</v>
      </c>
      <c r="K1090" s="3"/>
    </row>
    <row r="1091" spans="1:1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</row>
    <row r="1092" spans="1:11">
      <c r="A1092" s="3"/>
      <c r="B1092" s="3"/>
      <c r="C1092" s="3"/>
      <c r="D1092" s="3"/>
      <c r="E1092" s="3"/>
      <c r="F1092" s="3"/>
      <c r="G1092" s="3"/>
      <c r="H1092" s="3"/>
      <c r="I1092" s="3"/>
      <c r="J1092" s="15" t="s">
        <v>25</v>
      </c>
      <c r="K1092" s="4"/>
    </row>
    <row r="1093" spans="1:11">
      <c r="A1093" s="3"/>
      <c r="B1093" s="3"/>
      <c r="C1093" s="3"/>
      <c r="D1093" s="3"/>
      <c r="E1093" s="3"/>
      <c r="F1093" s="3"/>
      <c r="G1093" s="3"/>
      <c r="H1093" s="3"/>
      <c r="I1093" s="3"/>
      <c r="J1093" s="5"/>
      <c r="K1093" s="3"/>
    </row>
    <row r="1094" spans="1:11">
      <c r="A1094" s="3"/>
      <c r="B1094" s="3"/>
      <c r="C1094" s="3"/>
      <c r="D1094" s="3"/>
      <c r="E1094" s="3"/>
      <c r="F1094" s="3"/>
      <c r="G1094" s="3"/>
      <c r="H1094" s="3"/>
      <c r="I1094" s="3"/>
      <c r="J1094" s="5"/>
      <c r="K1094" s="3"/>
    </row>
    <row r="1095" spans="1:11">
      <c r="A1095" s="3"/>
      <c r="B1095" s="3"/>
      <c r="C1095" s="3"/>
      <c r="D1095" s="3"/>
      <c r="E1095" s="3"/>
      <c r="F1095" s="3"/>
      <c r="G1095" s="3"/>
      <c r="H1095" s="3"/>
      <c r="I1095" s="3"/>
      <c r="J1095" s="5"/>
      <c r="K1095" s="3"/>
    </row>
    <row r="1096" spans="1:11">
      <c r="A1096" s="3"/>
      <c r="B1096" s="3"/>
      <c r="C1096" s="3"/>
      <c r="D1096" s="3"/>
      <c r="E1096" s="3"/>
      <c r="F1096" s="3"/>
      <c r="G1096" s="3"/>
      <c r="H1096" s="3"/>
      <c r="I1096" s="3"/>
      <c r="J1096" s="24" t="s">
        <v>26</v>
      </c>
      <c r="K1096" s="3"/>
    </row>
    <row r="1097" spans="1:11">
      <c r="A1097" s="28"/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</row>
  </sheetData>
  <mergeCells count="234">
    <mergeCell ref="A1086:K1086"/>
    <mergeCell ref="K1064:K1072"/>
    <mergeCell ref="B1065:H1065"/>
    <mergeCell ref="B1068:H1068"/>
    <mergeCell ref="B1070:H1070"/>
    <mergeCell ref="C1077:D1077"/>
    <mergeCell ref="A1036:K1036"/>
    <mergeCell ref="A1055:K1055"/>
    <mergeCell ref="A1056:K1056"/>
    <mergeCell ref="A1058:K1058"/>
    <mergeCell ref="B1063:H1063"/>
    <mergeCell ref="I1063:J1063"/>
    <mergeCell ref="K1014:K1022"/>
    <mergeCell ref="B1015:H1015"/>
    <mergeCell ref="B1018:H1018"/>
    <mergeCell ref="B1020:H1020"/>
    <mergeCell ref="C1027:D1027"/>
    <mergeCell ref="A986:K986"/>
    <mergeCell ref="A1005:K1005"/>
    <mergeCell ref="A1006:K1006"/>
    <mergeCell ref="A1008:K1008"/>
    <mergeCell ref="B1013:H1013"/>
    <mergeCell ref="I1013:J1013"/>
    <mergeCell ref="K964:K972"/>
    <mergeCell ref="B965:H965"/>
    <mergeCell ref="B968:H968"/>
    <mergeCell ref="B970:H970"/>
    <mergeCell ref="C977:D977"/>
    <mergeCell ref="A936:K936"/>
    <mergeCell ref="A955:K955"/>
    <mergeCell ref="A956:K956"/>
    <mergeCell ref="A958:K958"/>
    <mergeCell ref="B963:H963"/>
    <mergeCell ref="I963:J963"/>
    <mergeCell ref="B918:H918"/>
    <mergeCell ref="I918:J918"/>
    <mergeCell ref="K919:K922"/>
    <mergeCell ref="B920:H920"/>
    <mergeCell ref="C927:D927"/>
    <mergeCell ref="C882:D882"/>
    <mergeCell ref="A891:K891"/>
    <mergeCell ref="A910:K910"/>
    <mergeCell ref="A911:K911"/>
    <mergeCell ref="A913:K913"/>
    <mergeCell ref="A864:K864"/>
    <mergeCell ref="A866:K866"/>
    <mergeCell ref="B871:H871"/>
    <mergeCell ref="I871:J871"/>
    <mergeCell ref="K872:K877"/>
    <mergeCell ref="B873:H873"/>
    <mergeCell ref="K826:K829"/>
    <mergeCell ref="B827:H827"/>
    <mergeCell ref="C834:D834"/>
    <mergeCell ref="A843:K843"/>
    <mergeCell ref="A863:K863"/>
    <mergeCell ref="A798:K798"/>
    <mergeCell ref="A817:K817"/>
    <mergeCell ref="A818:K818"/>
    <mergeCell ref="A820:K820"/>
    <mergeCell ref="B825:H825"/>
    <mergeCell ref="I825:J825"/>
    <mergeCell ref="K781:K784"/>
    <mergeCell ref="B782:H782"/>
    <mergeCell ref="C789:D789"/>
    <mergeCell ref="A753:K753"/>
    <mergeCell ref="A772:K772"/>
    <mergeCell ref="A773:K773"/>
    <mergeCell ref="A775:K775"/>
    <mergeCell ref="B780:H780"/>
    <mergeCell ref="I780:J780"/>
    <mergeCell ref="K731:K739"/>
    <mergeCell ref="B732:H732"/>
    <mergeCell ref="B735:H735"/>
    <mergeCell ref="B737:H737"/>
    <mergeCell ref="C744:D744"/>
    <mergeCell ref="A703:K703"/>
    <mergeCell ref="A722:K722"/>
    <mergeCell ref="A723:K723"/>
    <mergeCell ref="A725:K725"/>
    <mergeCell ref="B730:H730"/>
    <mergeCell ref="I730:J730"/>
    <mergeCell ref="K681:K689"/>
    <mergeCell ref="B682:H682"/>
    <mergeCell ref="B685:H685"/>
    <mergeCell ref="B687:H687"/>
    <mergeCell ref="C694:D694"/>
    <mergeCell ref="A653:K653"/>
    <mergeCell ref="A672:K672"/>
    <mergeCell ref="A673:K673"/>
    <mergeCell ref="A675:K675"/>
    <mergeCell ref="B680:H680"/>
    <mergeCell ref="I680:J680"/>
    <mergeCell ref="K630:K639"/>
    <mergeCell ref="B631:H631"/>
    <mergeCell ref="B634:H634"/>
    <mergeCell ref="B636:H636"/>
    <mergeCell ref="C644:D644"/>
    <mergeCell ref="A602:K602"/>
    <mergeCell ref="A621:K621"/>
    <mergeCell ref="A622:K622"/>
    <mergeCell ref="A624:K624"/>
    <mergeCell ref="B629:H629"/>
    <mergeCell ref="I629:J629"/>
    <mergeCell ref="K579:K588"/>
    <mergeCell ref="B580:H580"/>
    <mergeCell ref="B583:H583"/>
    <mergeCell ref="B585:H585"/>
    <mergeCell ref="C593:D593"/>
    <mergeCell ref="A551:K551"/>
    <mergeCell ref="A570:K570"/>
    <mergeCell ref="A571:K571"/>
    <mergeCell ref="A573:K573"/>
    <mergeCell ref="B578:H578"/>
    <mergeCell ref="I578:J578"/>
    <mergeCell ref="K528:K537"/>
    <mergeCell ref="B529:H529"/>
    <mergeCell ref="B532:H532"/>
    <mergeCell ref="B534:H534"/>
    <mergeCell ref="C542:D542"/>
    <mergeCell ref="A500:K500"/>
    <mergeCell ref="A519:K519"/>
    <mergeCell ref="A520:K520"/>
    <mergeCell ref="A522:K522"/>
    <mergeCell ref="B527:H527"/>
    <mergeCell ref="I527:J527"/>
    <mergeCell ref="K477:K486"/>
    <mergeCell ref="B478:H478"/>
    <mergeCell ref="B481:H481"/>
    <mergeCell ref="B483:H483"/>
    <mergeCell ref="C491:D491"/>
    <mergeCell ref="A449:K449"/>
    <mergeCell ref="A468:K468"/>
    <mergeCell ref="A469:K469"/>
    <mergeCell ref="A471:K471"/>
    <mergeCell ref="B476:H476"/>
    <mergeCell ref="I476:J476"/>
    <mergeCell ref="K426:K435"/>
    <mergeCell ref="B427:H427"/>
    <mergeCell ref="B430:H430"/>
    <mergeCell ref="B432:H432"/>
    <mergeCell ref="C440:D440"/>
    <mergeCell ref="A417:K417"/>
    <mergeCell ref="A418:K418"/>
    <mergeCell ref="A420:K420"/>
    <mergeCell ref="B425:H425"/>
    <mergeCell ref="I425:J425"/>
    <mergeCell ref="C336:D336"/>
    <mergeCell ref="A345:K345"/>
    <mergeCell ref="B321:H321"/>
    <mergeCell ref="I321:J321"/>
    <mergeCell ref="K322:K331"/>
    <mergeCell ref="B323:H323"/>
    <mergeCell ref="B326:H326"/>
    <mergeCell ref="B328:H328"/>
    <mergeCell ref="A397:K397"/>
    <mergeCell ref="A365:K365"/>
    <mergeCell ref="A366:K366"/>
    <mergeCell ref="A368:K368"/>
    <mergeCell ref="B373:H373"/>
    <mergeCell ref="I373:J373"/>
    <mergeCell ref="K374:K383"/>
    <mergeCell ref="B375:H375"/>
    <mergeCell ref="B378:H378"/>
    <mergeCell ref="B380:H380"/>
    <mergeCell ref="C388:D388"/>
    <mergeCell ref="C285:D285"/>
    <mergeCell ref="A294:K294"/>
    <mergeCell ref="A313:K313"/>
    <mergeCell ref="A314:K314"/>
    <mergeCell ref="A316:K316"/>
    <mergeCell ref="B270:H270"/>
    <mergeCell ref="I270:J270"/>
    <mergeCell ref="K271:K280"/>
    <mergeCell ref="B272:H272"/>
    <mergeCell ref="B275:H275"/>
    <mergeCell ref="B277:H277"/>
    <mergeCell ref="C233:D233"/>
    <mergeCell ref="A242:K242"/>
    <mergeCell ref="A262:K262"/>
    <mergeCell ref="A263:K263"/>
    <mergeCell ref="A265:K265"/>
    <mergeCell ref="B218:H218"/>
    <mergeCell ref="I218:J218"/>
    <mergeCell ref="K219:K228"/>
    <mergeCell ref="B220:H220"/>
    <mergeCell ref="B223:H223"/>
    <mergeCell ref="B225:H225"/>
    <mergeCell ref="C181:D181"/>
    <mergeCell ref="A190:K190"/>
    <mergeCell ref="A210:K210"/>
    <mergeCell ref="A211:K211"/>
    <mergeCell ref="A213:K213"/>
    <mergeCell ref="A159:K159"/>
    <mergeCell ref="A161:K161"/>
    <mergeCell ref="B166:H166"/>
    <mergeCell ref="I166:J166"/>
    <mergeCell ref="K167:K176"/>
    <mergeCell ref="B168:H168"/>
    <mergeCell ref="B171:H171"/>
    <mergeCell ref="B173:H173"/>
    <mergeCell ref="K116:K124"/>
    <mergeCell ref="B121:H121"/>
    <mergeCell ref="C129:D129"/>
    <mergeCell ref="A138:K138"/>
    <mergeCell ref="A158:K158"/>
    <mergeCell ref="B117:H117"/>
    <mergeCell ref="A107:K107"/>
    <mergeCell ref="A108:K108"/>
    <mergeCell ref="B115:H115"/>
    <mergeCell ref="I115:J115"/>
    <mergeCell ref="A110:K110"/>
    <mergeCell ref="B119:H119"/>
    <mergeCell ref="A7:K7"/>
    <mergeCell ref="A8:K8"/>
    <mergeCell ref="A10:K10"/>
    <mergeCell ref="B15:H15"/>
    <mergeCell ref="I15:J15"/>
    <mergeCell ref="K16:K24"/>
    <mergeCell ref="B17:H17"/>
    <mergeCell ref="B19:H19"/>
    <mergeCell ref="B21:H21"/>
    <mergeCell ref="C29:D29"/>
    <mergeCell ref="A38:K38"/>
    <mergeCell ref="C79:D79"/>
    <mergeCell ref="A57:K57"/>
    <mergeCell ref="A60:K60"/>
    <mergeCell ref="A88:K88"/>
    <mergeCell ref="A58:K58"/>
    <mergeCell ref="B65:H65"/>
    <mergeCell ref="I65:J65"/>
    <mergeCell ref="K66:K74"/>
    <mergeCell ref="B67:H67"/>
    <mergeCell ref="B69:H69"/>
    <mergeCell ref="B71:H71"/>
  </mergeCells>
  <printOptions horizontalCentered="1"/>
  <pageMargins left="0.118110236220472" right="0.118110236220472" top="0.35433070866141703" bottom="0.35433070866141703" header="0.31496062992126" footer="0.31496062992126"/>
  <pageSetup paperSize="5" scale="9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RINCIAN PERJADIN</vt:lpstr>
      <vt:lpstr>'RINCIAN PERJADIN'!Print_Area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 S</cp:lastModifiedBy>
  <cp:lastPrinted>2026-05-11T06:11:36Z</cp:lastPrinted>
  <dcterms:created xsi:type="dcterms:W3CDTF">2022-01-18T06:29:00Z</dcterms:created>
  <dcterms:modified xsi:type="dcterms:W3CDTF">2026-05-11T06:11:42Z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722F5188EB634F22846685A5B80E601A_12</vt:lpwstr>
  </property>
  <property fmtid="{D5CDD505-2E9C-101B-9397-08002B2CF9AE}" pid="3" name="KSOProductBuildVer">
    <vt:lpwstr>1033-12.2.0.18911</vt:lpwstr>
  </property>
</Properties>
</file>